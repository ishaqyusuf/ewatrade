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47793074a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5ea699925e4f04"/>
    <x:sheet xmlns:r="http://schemas.openxmlformats.org/officeDocument/2006/relationships" name="Assumptions" sheetId="2" r:id="R5c28e2344b2f4a5c"/>
    <x:sheet xmlns:r="http://schemas.openxmlformats.org/officeDocument/2006/relationships" name="Unit Economics" sheetId="3" r:id="Re4d033c634db4be6"/>
    <x:sheet xmlns:r="http://schemas.openxmlformats.org/officeDocument/2006/relationships" name="24-Month Plan" sheetId="4" r:id="Re4b64fda8a7742b9"/>
    <x:sheet xmlns:r="http://schemas.openxmlformats.org/officeDocument/2006/relationships" name="Scenarios" sheetId="5" r:id="Rc6ddb1997d414d82"/>
    <x:sheet xmlns:r="http://schemas.openxmlformats.org/officeDocument/2006/relationships" name="Pilot Data" sheetId="6" r:id="R2e640ff85e794957"/>
    <x:sheet xmlns:r="http://schemas.openxmlformats.org/officeDocument/2006/relationships" name="KPI Scorecard" sheetId="7" r:id="R7b8242c901144bd0"/>
    <x:sheet xmlns:r="http://schemas.openxmlformats.org/officeDocument/2006/relationships" name="Research Inputs" sheetId="8" r:id="R4c9aa6c5a7f34e5d"/>
    <x:sheet xmlns:r="http://schemas.openxmlformats.org/officeDocument/2006/relationships" name="Sources &amp; Notes" sheetId="9" r:id="R834bb601101549f4"/>
    <x:sheet xmlns:r="http://schemas.openxmlformats.org/officeDocument/2006/relationships" name="Checks" sheetId="10" r:id="R9beb410fbce0479c"/>
  </x:sheets>
</x:workbook>
</file>

<file path=xl/comments1.xml><?xml version="1.0" encoding="utf-8"?>
<x:comments xmlns:x="http://schemas.openxmlformats.org/spreadsheetml/2006/main">
  <x:authors>
    <x:author>tc={EE8A44DC-C802-419D-B3DC-0108655CA521}</x:author>
    <x:author>tc={7F8EE49A-5A9A-A22D-C031-5A3AF12327EC}</x:author>
    <x:author>tc={9F7497ED-7C0C-BD41-4847-07289AC3AEDD}</x:author>
    <x:author>tc={CD6E01E9-D525-0BB8-6DBF-713FCCB42AAB}</x:author>
    <x:author>tc={D215C337-73F0-443E-AD45-71D20ED81CED}</x:author>
    <x:author>tc={2A87C628-88A3-0632-ACFF-82D5591605BE}</x:author>
  </x:authors>
  <x:commentList>
    <x:comment ref="C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  <x:comment ref="D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  <x:comment ref="E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  <x:comment ref="C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  <x:comment ref="D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  <x:comment ref="E1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pricing/volume hypothesis. Replace with observed pharmacy or pilot evidence.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%;[Red](0.0%);-"/>
    <x:numFmt numFmtId="202" formatCode="&quot;NGN&quot; #,##0;[Red](&quot;NGN&quot; #,##0);-"/>
    <x:numFmt numFmtId="203" formatCode="0.0x"/>
    <x:numFmt numFmtId="204" formatCode="mmm yyyy"/>
    <x:numFmt numFmtId="205" formatCode="yyyy-mm-dd"/>
    <x:numFmt numFmtId="206" formatCode="yyyy-mm-dd hh:mm"/>
    <x:numFmt numFmtId="207" formatCode="0.0"/>
  </x:numFmts>
  <x:fonts count="36">
    <x:font>
      <x:sz val="11"/>
      <x:name val="Carlito"/>
    </x:font>
    <x:font>
      <x:b/>
      <x:sz val="18"/>
      <x:color rgb="FFFFFFFF"/>
      <x:name val="Carlito"/>
    </x:font>
    <x:font>
      <x:sz val="10"/>
      <x:color rgb="FF056333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9"/>
      <x:color rgb="FFFFFFFF"/>
      <x:name val="Carlito"/>
    </x:font>
    <x:font>
      <x:b/>
      <x:sz val="10"/>
      <x:color rgb="FFFFFFFF"/>
      <x:name val="Carlito"/>
    </x:font>
    <x:font>
      <x:b/>
      <x:sz val="10"/>
      <x:color rgb="FF008000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3"/>
      <x:color rgb="FFFFFFFF"/>
      <x:name val="Carlito"/>
    </x:font>
    <x:font>
      <x:b/>
      <x:sz val="13"/>
      <x:color rgb="FF056333"/>
      <x:name val="Carlito"/>
    </x:font>
    <x:font>
      <x:sz val="11"/>
      <x:color rgb="FF111827"/>
      <x:name val="Carlito"/>
    </x:font>
    <x:font>
      <x:b/>
      <x:sz val="9"/>
      <x:color rgb="FF056333"/>
      <x:name val="Carlito"/>
    </x:font>
    <x:font>
      <x:b/>
      <x:sz val="17"/>
      <x:color rgb="FF008000"/>
      <x:name val="Carlito"/>
    </x:font>
    <x:font>
      <x:b/>
      <x:sz val="11"/>
      <x:color rgb="FF6B4E00"/>
      <x:name val="Carlito"/>
    </x:font>
    <x:font>
      <x:b/>
      <x:sz val="18"/>
      <x:color rgb="FFFFFFFF"/>
      <x:name val="Arial"/>
    </x:font>
    <x:font>
      <x:sz val="10"/>
      <x:color rgb="FF056333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11827"/>
      <x:name val="Arial"/>
    </x:font>
    <x:font>
      <x:b/>
      <x:sz val="9"/>
      <x:color rgb="FF056333"/>
      <x:name val="Arial"/>
    </x:font>
    <x:font>
      <x:b/>
      <x:sz val="17"/>
      <x:color rgb="FF008000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11"/>
      <x:color rgb="FF008000"/>
      <x:name val="Arial"/>
    </x:font>
    <x:font>
      <x:b/>
      <x:sz val="11"/>
      <x:color rgb="FF6B4E00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0"/>
      <x:color rgb="FF008000"/>
      <x:name val="Arial"/>
    </x:font>
    <x:font>
      <x:b/>
      <x:sz val="11"/>
      <x:name val="Arial"/>
    </x:font>
    <x:font>
      <x:b/>
      <x:sz val="11"/>
      <x:color rgb="FF008000"/>
      <x:name val="Arial"/>
    </x:font>
    <x:font>
      <x:b/>
      <x:sz val="13"/>
      <x:color rgb="FFFFFFFF"/>
      <x:name val="Arial"/>
    </x:font>
    <x:font>
      <x:b/>
      <x:sz val="13"/>
      <x:color rgb="FF05633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56333"/>
      </x:patternFill>
    </x:fill>
    <x:fill>
      <x:patternFill patternType="solid">
        <x:fgColor rgb="FFEAF7EF"/>
      </x:patternFill>
    </x:fill>
    <x:fill>
      <x:patternFill patternType="solid">
        <x:fgColor rgb="FFFFF4CC"/>
      </x:patternFill>
    </x:fill>
    <x:fill>
      <x:patternFill patternType="solid">
        <x:fgColor rgb="FF111827"/>
      </x:patternFill>
    </x:fill>
    <x:fill>
      <x:patternFill patternType="solid">
        <x:fgColor rgb="FF079447"/>
      </x:patternFill>
    </x:fill>
    <x:fill>
      <x:patternFill patternType="solid">
        <x:fgColor rgb="FFF5F7F6"/>
      </x:patternFill>
    </x:fill>
    <x:fill>
      <x:patternFill patternType="solid">
        <x:fgColor rgb="FFFFFFFF"/>
      </x:patternFill>
    </x:fill>
  </x:fills>
  <x:borders count="11">
    <x:border/>
    <x:border>
      <x:right style="thin">
        <x:color rgb="FF056333"/>
      </x:right>
    </x:border>
    <x:border>
      <x:left style="thin">
        <x:color rgb="FF056333"/>
      </x:left>
      <x:right style="thin">
        <x:color rgb="FF056333"/>
      </x:right>
    </x:border>
    <x:border>
      <x:left style="thin">
        <x:color rgb="FF056333"/>
      </x:left>
    </x:border>
    <x:border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  <x:border>
      <x:top style="thin">
        <x:color rgb="FFD9E1DD"/>
      </x:top>
    </x:border>
    <x:border>
      <x:left style="thin">
        <x:color rgb="FFD9E1DD"/>
      </x:left>
      <x:top style="thin">
        <x:color rgb="FFD9E1DD"/>
      </x:top>
    </x:border>
    <x:border>
      <x:right style="thin">
        <x:color rgb="FFD9E1DD"/>
      </x:right>
      <x:top style="thin">
        <x:color rgb="FFD9E1DD"/>
      </x:top>
    </x:border>
    <x:border>
      <x:left style="thin">
        <x:color rgb="FFD9E1DD"/>
      </x:left>
      <x:bottom style="thin">
        <x:color rgb="FFD9E1DD"/>
      </x:bottom>
    </x:border>
    <x:border>
      <x:right style="thin">
        <x:color rgb="FFD9E1DD"/>
      </x:right>
      <x:bottom style="thin">
        <x:color rgb="FFD9E1DD"/>
      </x:bottom>
    </x:border>
  </x:borders>
  <x:cellStyleXfs count="1">
    <x:xf numFmtId="0" fontId="0" fillId="0" borderId="0"/>
  </x:cellStyleXfs>
  <x:cellXfs count="3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5" fillId="0" borderId="4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5" fillId="0" borderId="5" xfId="0" applyNumberFormat="1" applyFont="1" applyFill="1" applyBorder="1"/>
    <x:xf numFmtId="0" fontId="3" fillId="4" borderId="5" xfId="0" applyNumberFormat="1" applyFont="1" applyFill="1" applyBorder="1"/>
    <x:xf numFmtId="200" fontId="5" fillId="0" borderId="4" xfId="0" applyNumberFormat="1" applyFont="1" applyFill="1" applyBorder="1"/>
    <x:xf numFmtId="200" fontId="3" fillId="4" borderId="4" xfId="0" applyNumberFormat="1" applyFont="1" applyFill="1" applyBorder="1"/>
    <x:xf numFmtId="201" fontId="5" fillId="0" borderId="5" xfId="0" applyNumberFormat="1" applyFont="1" applyFill="1" applyBorder="1"/>
    <x:xf numFmtId="201" fontId="3" fillId="4" borderId="5" xfId="0" applyNumberFormat="1" applyFont="1" applyFill="1" applyBorder="1"/>
    <x:xf numFmtId="202" fontId="5" fillId="0" borderId="5" xfId="0" applyNumberFormat="1" applyFont="1" applyFill="1" applyBorder="1"/>
    <x:xf numFmtId="202" fontId="3" fillId="4" borderId="5" xfId="0" applyNumberFormat="1" applyFont="1" applyFill="1" applyBorder="1"/>
    <x:xf numFmtId="200" fontId="5" fillId="0" borderId="5" xfId="0" applyNumberFormat="1" applyFont="1" applyFill="1" applyBorder="1"/>
    <x:xf numFmtId="200" fontId="3" fillId="4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5" fillId="0" borderId="4" xfId="0" applyNumberFormat="1" applyFont="1" applyFill="1" applyBorder="1" applyAlignment="1">
      <x:alignment wrapText="1"/>
    </x:xf>
    <x:xf numFmtId="20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5" fillId="0" borderId="5" xfId="0" applyNumberFormat="1" applyFont="1" applyFill="1" applyBorder="1" applyAlignment="1">
      <x:alignment wrapText="1"/>
    </x:xf>
    <x:xf numFmtId="201" fontId="3" fillId="4" borderId="5" xfId="0" applyNumberFormat="1" applyFont="1" applyFill="1" applyBorder="1" applyAlignment="1">
      <x:alignment wrapText="1"/>
    </x:xf>
    <x:xf numFmtId="202" fontId="5" fillId="0" borderId="5" xfId="0" applyNumberFormat="1" applyFont="1" applyFill="1" applyBorder="1" applyAlignment="1">
      <x:alignment wrapText="1"/>
    </x:xf>
    <x:xf numFmtId="202" fontId="3" fillId="4" borderId="5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wrapText="1"/>
    </x:xf>
    <x:xf numFmtId="200" fontId="3" fillId="4" borderId="5" xfId="0" applyNumberFormat="1" applyFont="1" applyFill="1" applyBorder="1" applyAlignment="1">
      <x:alignment wrapText="1"/>
    </x:xf>
    <x:xf numFmtId="200" fontId="3" fillId="4" borderId="4" xfId="0" applyNumberFormat="1" applyFont="1" applyFill="1" applyBorder="1" applyAlignment="1">
      <x:alignment horizontal="right" wrapText="1"/>
    </x:xf>
    <x:xf numFmtId="201" fontId="3" fillId="4" borderId="5" xfId="0" applyNumberFormat="1" applyFont="1" applyFill="1" applyBorder="1" applyAlignment="1">
      <x:alignment horizontal="right" wrapText="1"/>
    </x:xf>
    <x:xf numFmtId="202" fontId="3" fillId="4" borderId="5" xfId="0" applyNumberFormat="1" applyFont="1" applyFill="1" applyBorder="1" applyAlignment="1">
      <x:alignment horizontal="right" wrapText="1"/>
    </x:xf>
    <x:xf numFmtId="200" fontId="3" fillId="4" borderId="5" xfId="0" applyNumberFormat="1" applyFont="1" applyFill="1" applyBorder="1" applyAlignment="1">
      <x:alignment horizontal="right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4" xfId="0" applyNumberFormat="1" applyFont="1" applyFill="1" applyBorder="1"/>
    <x:xf numFmtId="200" fontId="6" fillId="0" borderId="5" xfId="0" applyNumberFormat="1" applyFont="1" applyFill="1" applyBorder="1"/>
    <x:xf numFmtId="202" fontId="6" fillId="0" borderId="4" xfId="0" applyNumberFormat="1" applyFont="1" applyFill="1" applyBorder="1"/>
    <x:xf numFmtId="202" fontId="6" fillId="0" borderId="5" xfId="0" applyNumberFormat="1" applyFont="1" applyFill="1" applyBorder="1"/>
    <x:xf numFmtId="201" fontId="6" fillId="0" borderId="5" xfId="0" applyNumberFormat="1" applyFont="1" applyFill="1" applyBorder="1"/>
    <x:xf numFmtId="203" fontId="6" fillId="0" borderId="5" xfId="0" applyNumberFormat="1" applyFont="1" applyFill="1" applyBorder="1"/>
    <x:xf numFmtId="0" fontId="10" fillId="0" borderId="5" xfId="0" applyNumberFormat="1" applyFont="1" applyFill="1" applyBorder="1"/>
    <x:xf numFmtId="202" fontId="11" fillId="0" borderId="5" xfId="0" applyNumberFormat="1" applyFont="1" applyFill="1" applyBorder="1"/>
    <x:xf numFmtId="201" fontId="11" fillId="0" borderId="5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wrapText="1"/>
    </x:xf>
    <x:xf numFmtId="200" fontId="6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202" fontId="6" fillId="0" borderId="4" xfId="0" applyNumberFormat="1" applyFont="1" applyFill="1" applyBorder="1" applyAlignment="1">
      <x:alignment wrapText="1"/>
    </x:xf>
    <x:xf numFmtId="202" fontId="6" fillId="0" borderId="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202" fontId="11" fillId="0" borderId="5" xfId="0" applyNumberFormat="1" applyFont="1" applyFill="1" applyBorder="1" applyAlignment="1">
      <x:alignment wrapText="1"/>
    </x:xf>
    <x:xf numFmtId="201" fontId="11" fillId="0" borderId="5" xfId="0" applyNumberFormat="1" applyFont="1" applyFill="1" applyBorder="1" applyAlignment="1">
      <x:alignment wrapText="1"/>
    </x:xf>
    <x:xf numFmtId="203" fontId="6" fillId="0" borderId="5" xfId="0" applyNumberFormat="1" applyFont="1" applyFill="1" applyBorder="1" applyAlignment="1">
      <x:alignment wrapText="1"/>
    </x:xf>
    <x:xf numFmtId="201" fontId="6" fillId="0" borderId="4" xfId="0" applyNumberFormat="1" applyFont="1" applyFill="1" applyBorder="1"/>
    <x:xf numFmtId="203" fontId="6" fillId="0" borderId="4" xfId="0" applyNumberFormat="1" applyFont="1" applyFill="1" applyBorder="1"/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5" fillId="0" borderId="6" xfId="0" applyNumberFormat="1" applyFont="1" applyFill="1" applyBorder="1"/>
    <x:xf numFmtId="205" fontId="3" fillId="0" borderId="4" xfId="0" applyNumberFormat="1" applyFont="1" applyFill="1" applyBorder="1"/>
    <x:xf numFmtId="205" fontId="3" fillId="0" borderId="5" xfId="0" applyNumberFormat="1" applyFont="1" applyFill="1" applyBorder="1"/>
    <x:xf numFmtId="205" fontId="3" fillId="0" borderId="6" xfId="0" applyNumberFormat="1" applyFont="1" applyFill="1" applyBorder="1"/>
    <x:xf numFmtId="202" fontId="3" fillId="0" borderId="4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206" fontId="3" fillId="0" borderId="4" xfId="0" applyNumberFormat="1" applyFont="1" applyFill="1" applyBorder="1"/>
    <x:xf numFmtId="206" fontId="3" fillId="0" borderId="5" xfId="0" applyNumberFormat="1" applyFont="1" applyFill="1" applyBorder="1"/>
    <x:xf numFmtId="206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7" fontId="3" fillId="0" borderId="4" xfId="0" applyNumberFormat="1" applyFont="1" applyFill="1" applyBorder="1"/>
    <x:xf numFmtId="207" fontId="3" fillId="0" borderId="5" xfId="0" applyNumberFormat="1" applyFont="1" applyFill="1" applyBorder="1"/>
    <x:xf numFmtId="207" fontId="3" fillId="0" borderId="6" xfId="0" applyNumberFormat="1" applyFont="1" applyFill="1" applyBorder="1"/>
    <x:xf numFmtId="0" fontId="3" fillId="0" borderId="0" xfId="0" applyNumberFormat="1" applyFont="1" applyFill="1" applyBorder="1"/>
    <x:xf numFmtId="201" fontId="3" fillId="4" borderId="0" xfId="0" applyNumberFormat="1" applyFont="1" applyFill="1" applyBorder="1"/>
    <x:xf numFmtId="207" fontId="6" fillId="0" borderId="0" xfId="0" applyNumberFormat="1" applyFont="1" applyFill="1" applyBorder="1"/>
    <x:xf numFmtId="207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4" xfId="0" applyNumberFormat="1" applyFont="1" applyFill="1" applyBorder="1"/>
    <x:xf numFmtId="207" fontId="6" fillId="0" borderId="5" xfId="0" applyNumberFormat="1" applyFont="1" applyFill="1" applyBorder="1"/>
    <x:xf numFmtId="207" fontId="3" fillId="4" borderId="5" xfId="0" applyNumberFormat="1" applyFont="1" applyFill="1" applyBorder="1"/>
    <x:xf numFmtId="201" fontId="6" fillId="0" borderId="4" xfId="0" applyNumberFormat="1" applyFont="1" applyFill="1" applyBorder="1" applyAlignment="1">
      <x:alignment wrapText="1"/>
    </x:xf>
    <x:xf numFmtId="201" fontId="3" fillId="4" borderId="4" xfId="0" applyNumberFormat="1" applyFont="1" applyFill="1" applyBorder="1" applyAlignment="1">
      <x:alignment wrapText="1"/>
    </x:xf>
    <x:xf numFmtId="207" fontId="6" fillId="0" borderId="5" xfId="0" applyNumberFormat="1" applyFont="1" applyFill="1" applyBorder="1" applyAlignment="1">
      <x:alignment wrapText="1"/>
    </x:xf>
    <x:xf numFmtId="207" fontId="3" fillId="4" borderId="5" xfId="0" applyNumberFormat="1" applyFont="1" applyFill="1" applyBorder="1" applyAlignment="1">
      <x:alignment wrapText="1"/>
    </x:xf>
    <x:xf numFmtId="201" fontId="6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12" fillId="5" borderId="0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7" xfId="0" applyNumberFormat="1" applyFont="1" applyFill="1" applyBorder="1"/>
    <x:xf numFmtId="0" fontId="16" fillId="8" borderId="8" xfId="0" applyNumberFormat="1" applyFont="1" applyFill="1" applyBorder="1"/>
    <x:xf numFmtId="0" fontId="16" fillId="8" borderId="9" xfId="0" applyNumberFormat="1" applyFont="1" applyFill="1" applyBorder="1"/>
    <x:xf numFmtId="0" fontId="16" fillId="8" borderId="10" xfId="0" applyNumberFormat="1" applyFont="1" applyFill="1" applyBorder="1"/>
    <x:xf numFmtId="0" fontId="16" fillId="8" borderId="7" xfId="0" applyNumberFormat="1" applyFont="1" applyFill="1" applyBorder="1" applyAlignment="1">
      <x:alignment horizontal="center"/>
    </x:xf>
    <x:xf numFmtId="0" fontId="16" fillId="8" borderId="8" xfId="0" applyNumberFormat="1" applyFont="1" applyFill="1" applyBorder="1" applyAlignment="1">
      <x:alignment horizontal="center"/>
    </x:xf>
    <x:xf numFmtId="0" fontId="16" fillId="8" borderId="9" xfId="0" applyNumberFormat="1" applyFont="1" applyFill="1" applyBorder="1" applyAlignment="1">
      <x:alignment horizontal="center"/>
    </x:xf>
    <x:xf numFmtId="0" fontId="16" fillId="8" borderId="10" xfId="0" applyNumberFormat="1" applyFont="1" applyFill="1" applyBorder="1" applyAlignment="1">
      <x:alignment horizontal="center"/>
    </x:xf>
    <x:xf numFmtId="0" fontId="16" fillId="8" borderId="7" xfId="0" applyNumberFormat="1" applyFont="1" applyFill="1" applyBorder="1" applyAlignment="1">
      <x:alignment horizontal="center" vertical="center"/>
    </x:xf>
    <x:xf numFmtId="0" fontId="16" fillId="8" borderId="8" xfId="0" applyNumberFormat="1" applyFont="1" applyFill="1" applyBorder="1" applyAlignment="1">
      <x:alignment horizontal="center" vertical="center"/>
    </x:xf>
    <x:xf numFmtId="0" fontId="16" fillId="8" borderId="9" xfId="0" applyNumberFormat="1" applyFont="1" applyFill="1" applyBorder="1" applyAlignment="1">
      <x:alignment horizontal="center" vertical="center"/>
    </x:xf>
    <x:xf numFmtId="0" fontId="16" fillId="8" borderId="10" xfId="0" applyNumberFormat="1" applyFont="1" applyFill="1" applyBorder="1" applyAlignment="1">
      <x:alignment horizontal="center" vertical="center"/>
    </x:xf>
    <x:xf numFmtId="202" fontId="16" fillId="8" borderId="7" xfId="0" applyNumberFormat="1" applyFont="1" applyFill="1" applyBorder="1" applyAlignment="1">
      <x:alignment horizontal="center" vertical="center"/>
    </x:xf>
    <x:xf numFmtId="202" fontId="16" fillId="8" borderId="8" xfId="0" applyNumberFormat="1" applyFont="1" applyFill="1" applyBorder="1" applyAlignment="1">
      <x:alignment horizontal="center" vertical="center"/>
    </x:xf>
    <x:xf numFmtId="202" fontId="16" fillId="8" borderId="9" xfId="0" applyNumberFormat="1" applyFont="1" applyFill="1" applyBorder="1" applyAlignment="1">
      <x:alignment horizontal="center" vertical="center"/>
    </x:xf>
    <x:xf numFmtId="202" fontId="16" fillId="8" borderId="10" xfId="0" applyNumberFormat="1" applyFont="1" applyFill="1" applyBorder="1" applyAlignment="1">
      <x:alignment horizontal="center" vertical="center"/>
    </x:xf>
    <x:xf numFmtId="201" fontId="16" fillId="8" borderId="7" xfId="0" applyNumberFormat="1" applyFont="1" applyFill="1" applyBorder="1" applyAlignment="1">
      <x:alignment horizontal="center" vertical="center"/>
    </x:xf>
    <x:xf numFmtId="201" fontId="16" fillId="8" borderId="8" xfId="0" applyNumberFormat="1" applyFont="1" applyFill="1" applyBorder="1" applyAlignment="1">
      <x:alignment horizontal="center" vertical="center"/>
    </x:xf>
    <x:xf numFmtId="201" fontId="16" fillId="8" borderId="9" xfId="0" applyNumberFormat="1" applyFont="1" applyFill="1" applyBorder="1" applyAlignment="1">
      <x:alignment horizontal="center" vertical="center"/>
    </x:xf>
    <x:xf numFmtId="201" fontId="16" fillId="8" borderId="10" xfId="0" applyNumberFormat="1" applyFont="1" applyFill="1" applyBorder="1" applyAlignment="1">
      <x:alignment horizontal="center" vertical="center"/>
    </x:xf>
    <x:xf numFmtId="203" fontId="16" fillId="8" borderId="7" xfId="0" applyNumberFormat="1" applyFont="1" applyFill="1" applyBorder="1" applyAlignment="1">
      <x:alignment horizontal="center" vertical="center"/>
    </x:xf>
    <x:xf numFmtId="203" fontId="16" fillId="8" borderId="8" xfId="0" applyNumberFormat="1" applyFont="1" applyFill="1" applyBorder="1" applyAlignment="1">
      <x:alignment horizontal="center" vertical="center"/>
    </x:xf>
    <x:xf numFmtId="203" fontId="16" fillId="8" borderId="9" xfId="0" applyNumberFormat="1" applyFont="1" applyFill="1" applyBorder="1" applyAlignment="1">
      <x:alignment horizontal="center" vertical="center"/>
    </x:xf>
    <x:xf numFmtId="203" fontId="16" fillId="8" borderId="10" xfId="0" applyNumberFormat="1" applyFont="1" applyFill="1" applyBorder="1" applyAlignment="1">
      <x:alignment horizontal="center" vertical="center"/>
    </x:xf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1" fillId="5" borderId="0" xfId="0" applyNumberFormat="1" applyFont="1" applyFill="1" applyBorder="1"/>
    <x:xf numFmtId="0" fontId="22" fillId="7" borderId="0" xfId="0" applyNumberFormat="1" applyFont="1" applyFill="1" applyBorder="1" applyAlignment="1">
      <x:alignment vertical="center" wrapText="1"/>
    </x:xf>
    <x:xf numFmtId="0" fontId="23" fillId="3" borderId="0" xfId="0" applyNumberFormat="1" applyFont="1" applyFill="1" applyBorder="1" applyAlignment="1">
      <x:alignment horizontal="center"/>
    </x:xf>
    <x:xf numFmtId="202" fontId="24" fillId="8" borderId="7" xfId="0" applyNumberFormat="1" applyFont="1" applyFill="1" applyBorder="1" applyAlignment="1">
      <x:alignment horizontal="center" vertical="center"/>
    </x:xf>
    <x:xf numFmtId="202" fontId="24" fillId="8" borderId="8" xfId="0" applyNumberFormat="1" applyFont="1" applyFill="1" applyBorder="1" applyAlignment="1">
      <x:alignment horizontal="center" vertical="center"/>
    </x:xf>
    <x:xf numFmtId="201" fontId="24" fillId="8" borderId="7" xfId="0" applyNumberFormat="1" applyFont="1" applyFill="1" applyBorder="1" applyAlignment="1">
      <x:alignment horizontal="center" vertical="center"/>
    </x:xf>
    <x:xf numFmtId="201" fontId="24" fillId="8" borderId="8" xfId="0" applyNumberFormat="1" applyFont="1" applyFill="1" applyBorder="1" applyAlignment="1">
      <x:alignment horizontal="center" vertical="center"/>
    </x:xf>
    <x:xf numFmtId="203" fontId="24" fillId="8" borderId="7" xfId="0" applyNumberFormat="1" applyFont="1" applyFill="1" applyBorder="1" applyAlignment="1">
      <x:alignment horizontal="center" vertical="center"/>
    </x:xf>
    <x:xf numFmtId="203" fontId="24" fillId="8" borderId="8" xfId="0" applyNumberFormat="1" applyFont="1" applyFill="1" applyBorder="1" applyAlignment="1">
      <x:alignment horizontal="center" vertical="center"/>
    </x:xf>
    <x:xf numFmtId="202" fontId="24" fillId="8" borderId="9" xfId="0" applyNumberFormat="1" applyFont="1" applyFill="1" applyBorder="1" applyAlignment="1">
      <x:alignment horizontal="center" vertical="center"/>
    </x:xf>
    <x:xf numFmtId="202" fontId="24" fillId="8" borderId="10" xfId="0" applyNumberFormat="1" applyFont="1" applyFill="1" applyBorder="1" applyAlignment="1">
      <x:alignment horizontal="center" vertical="center"/>
    </x:xf>
    <x:xf numFmtId="201" fontId="24" fillId="8" borderId="9" xfId="0" applyNumberFormat="1" applyFont="1" applyFill="1" applyBorder="1" applyAlignment="1">
      <x:alignment horizontal="center" vertical="center"/>
    </x:xf>
    <x:xf numFmtId="201" fontId="24" fillId="8" borderId="10" xfId="0" applyNumberFormat="1" applyFont="1" applyFill="1" applyBorder="1" applyAlignment="1">
      <x:alignment horizontal="center" vertical="center"/>
    </x:xf>
    <x:xf numFmtId="203" fontId="24" fillId="8" borderId="9" xfId="0" applyNumberFormat="1" applyFont="1" applyFill="1" applyBorder="1" applyAlignment="1">
      <x:alignment horizontal="center" vertical="center"/>
    </x:xf>
    <x:xf numFmtId="203" fontId="24" fillId="8" borderId="10" xfId="0" applyNumberFormat="1" applyFont="1" applyFill="1" applyBorder="1" applyAlignment="1">
      <x:alignment horizontal="center" vertical="center"/>
    </x:xf>
    <x:xf numFmtId="0" fontId="25" fillId="5" borderId="0" xfId="0" applyNumberFormat="1" applyFont="1" applyFill="1" applyBorder="1" applyAlignment="1">
      <x:alignment vertical="center"/>
    </x:xf>
    <x:xf numFmtId="0" fontId="26" fillId="6" borderId="1" xfId="0" applyNumberFormat="1" applyFont="1" applyFill="1" applyBorder="1" applyAlignment="1">
      <x:alignment vertical="center" wrapText="1"/>
    </x:xf>
    <x:xf numFmtId="0" fontId="26" fillId="6" borderId="2" xfId="0" applyNumberFormat="1" applyFont="1" applyFill="1" applyBorder="1" applyAlignment="1">
      <x:alignment vertical="center" wrapText="1"/>
    </x:xf>
    <x:xf numFmtId="0" fontId="26" fillId="6" borderId="3" xfId="0" applyNumberFormat="1" applyFont="1" applyFill="1" applyBorder="1" applyAlignment="1">
      <x:alignment vertical="center" wrapText="1"/>
    </x:xf>
    <x:xf numFmtId="0" fontId="27" fillId="0" borderId="4" xfId="0" applyNumberFormat="1" applyFont="1" applyFill="1" applyBorder="1"/>
    <x:xf numFmtId="202" fontId="27" fillId="0" borderId="4" xfId="0" applyNumberFormat="1" applyFont="1" applyFill="1" applyBorder="1"/>
    <x:xf numFmtId="201" fontId="27" fillId="0" borderId="4" xfId="0" applyNumberFormat="1" applyFont="1" applyFill="1" applyBorder="1"/>
    <x:xf numFmtId="0" fontId="27" fillId="0" borderId="5" xfId="0" applyNumberFormat="1" applyFont="1" applyFill="1" applyBorder="1"/>
    <x:xf numFmtId="202" fontId="27" fillId="0" borderId="5" xfId="0" applyNumberFormat="1" applyFont="1" applyFill="1" applyBorder="1"/>
    <x:xf numFmtId="201" fontId="27" fillId="0" borderId="5" xfId="0" applyNumberFormat="1" applyFont="1" applyFill="1" applyBorder="1"/>
    <x:xf numFmtId="0" fontId="20" fillId="0" borderId="4" xfId="0" applyNumberFormat="1" applyFont="1" applyFill="1" applyBorder="1"/>
    <x:xf numFmtId="200" fontId="27" fillId="0" borderId="4" xfId="0" applyNumberFormat="1" applyFont="1" applyFill="1" applyBorder="1"/>
    <x:xf numFmtId="0" fontId="20" fillId="0" borderId="5" xfId="0" applyNumberFormat="1" applyFont="1" applyFill="1" applyBorder="1"/>
    <x:xf numFmtId="200" fontId="27" fillId="0" borderId="5" xfId="0" applyNumberFormat="1" applyFont="1" applyFill="1" applyBorder="1"/>
    <x:xf numFmtId="0" fontId="28" fillId="4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 applyAlignment="1">
      <x:alignment vertical="center"/>
    </x:xf>
    <x:xf numFmtId="0" fontId="23" fillId="3" borderId="0" xfId="0" applyNumberFormat="1" applyFont="1" applyFill="1" applyBorder="1" applyAlignment="1">
      <x:alignment horizontal="center" vertical="center"/>
    </x:xf>
    <x:xf numFmtId="0" fontId="27" fillId="0" borderId="4" xfId="0" applyNumberFormat="1" applyFont="1" applyFill="1" applyBorder="1" applyAlignment="1">
      <x:alignment vertical="center"/>
    </x:xf>
    <x:xf numFmtId="202" fontId="27" fillId="0" borderId="4" xfId="0" applyNumberFormat="1" applyFont="1" applyFill="1" applyBorder="1" applyAlignment="1">
      <x:alignment vertical="center"/>
    </x:xf>
    <x:xf numFmtId="201" fontId="27" fillId="0" borderId="4" xfId="0" applyNumberFormat="1" applyFont="1" applyFill="1" applyBorder="1" applyAlignment="1">
      <x:alignment vertical="center"/>
    </x:xf>
    <x:xf numFmtId="0" fontId="27" fillId="0" borderId="5" xfId="0" applyNumberFormat="1" applyFont="1" applyFill="1" applyBorder="1" applyAlignment="1">
      <x:alignment vertical="center"/>
    </x:xf>
    <x:xf numFmtId="202" fontId="27" fillId="0" borderId="5" xfId="0" applyNumberFormat="1" applyFont="1" applyFill="1" applyBorder="1" applyAlignment="1">
      <x:alignment vertical="center"/>
    </x:xf>
    <x:xf numFmtId="201" fontId="27" fillId="0" borderId="5" xfId="0" applyNumberFormat="1" applyFont="1" applyFill="1" applyBorder="1" applyAlignment="1">
      <x:alignment vertical="center"/>
    </x:xf>
    <x:xf numFmtId="0" fontId="20" fillId="0" borderId="4" xfId="0" applyNumberFormat="1" applyFont="1" applyFill="1" applyBorder="1" applyAlignment="1">
      <x:alignment vertical="center"/>
    </x:xf>
    <x:xf numFmtId="200" fontId="27" fillId="0" borderId="4" xfId="0" applyNumberFormat="1" applyFont="1" applyFill="1" applyBorder="1" applyAlignment="1">
      <x:alignment vertical="center"/>
    </x:xf>
    <x:xf numFmtId="0" fontId="20" fillId="0" borderId="5" xfId="0" applyNumberFormat="1" applyFont="1" applyFill="1" applyBorder="1" applyAlignment="1">
      <x:alignment vertical="center"/>
    </x:xf>
    <x:xf numFmtId="200" fontId="27" fillId="0" borderId="5" xfId="0" applyNumberFormat="1" applyFont="1" applyFill="1" applyBorder="1" applyAlignment="1">
      <x:alignment vertical="center"/>
    </x:xf>
    <x:xf numFmtId="0" fontId="29" fillId="4" borderId="0" xfId="0" applyNumberFormat="1" applyFont="1" applyFill="1" applyBorder="1"/>
    <x:xf numFmtId="0" fontId="30" fillId="0" borderId="0" xfId="0" applyNumberFormat="1" applyFont="1" applyFill="1" applyBorder="1"/>
    <x:xf numFmtId="0" fontId="27" fillId="0" borderId="0" xfId="0" applyNumberFormat="1" applyFont="1" applyFill="1" applyBorder="1"/>
    <x:xf numFmtId="0" fontId="20" fillId="0" borderId="4" xfId="0" applyNumberFormat="1" applyFont="1" applyFill="1" applyBorder="1" applyAlignment="1">
      <x:alignment wrapText="1"/>
    </x:xf>
    <x:xf numFmtId="200" fontId="30" fillId="0" borderId="4" xfId="0" applyNumberFormat="1" applyFont="1" applyFill="1" applyBorder="1" applyAlignment="1">
      <x:alignment wrapText="1"/>
    </x:xf>
    <x:xf numFmtId="200" fontId="29" fillId="4" borderId="4" xfId="0" applyNumberFormat="1" applyFont="1" applyFill="1" applyBorder="1" applyAlignment="1">
      <x:alignment horizontal="right" wrapText="1"/>
    </x:xf>
    <x:xf numFmtId="0" fontId="20" fillId="0" borderId="5" xfId="0" applyNumberFormat="1" applyFont="1" applyFill="1" applyBorder="1" applyAlignment="1">
      <x:alignment wrapText="1"/>
    </x:xf>
    <x:xf numFmtId="201" fontId="30" fillId="0" borderId="5" xfId="0" applyNumberFormat="1" applyFont="1" applyFill="1" applyBorder="1" applyAlignment="1">
      <x:alignment wrapText="1"/>
    </x:xf>
    <x:xf numFmtId="201" fontId="29" fillId="4" borderId="5" xfId="0" applyNumberFormat="1" applyFont="1" applyFill="1" applyBorder="1" applyAlignment="1">
      <x:alignment horizontal="right" wrapText="1"/>
    </x:xf>
    <x:xf numFmtId="202" fontId="30" fillId="0" borderId="5" xfId="0" applyNumberFormat="1" applyFont="1" applyFill="1" applyBorder="1" applyAlignment="1">
      <x:alignment wrapText="1"/>
    </x:xf>
    <x:xf numFmtId="202" fontId="29" fillId="4" borderId="5" xfId="0" applyNumberFormat="1" applyFont="1" applyFill="1" applyBorder="1" applyAlignment="1">
      <x:alignment horizontal="right" wrapText="1"/>
    </x:xf>
    <x:xf numFmtId="200" fontId="30" fillId="0" borderId="5" xfId="0" applyNumberFormat="1" applyFont="1" applyFill="1" applyBorder="1" applyAlignment="1">
      <x:alignment wrapText="1"/>
    </x:xf>
    <x:xf numFmtId="200" fontId="29" fillId="4" borderId="5" xfId="0" applyNumberFormat="1" applyFont="1" applyFill="1" applyBorder="1" applyAlignment="1">
      <x:alignment horizontal="right" wrapText="1"/>
    </x:xf>
    <x:xf numFmtId="0" fontId="29" fillId="4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0" fontId="20" fillId="0" borderId="4" xfId="0" applyNumberFormat="1" applyFont="1" applyFill="1" applyBorder="1" applyAlignment="1">
      <x:alignment vertical="center" wrapText="1"/>
    </x:xf>
    <x:xf numFmtId="200" fontId="30" fillId="0" borderId="4" xfId="0" applyNumberFormat="1" applyFont="1" applyFill="1" applyBorder="1" applyAlignment="1">
      <x:alignment vertical="center" wrapText="1"/>
    </x:xf>
    <x:xf numFmtId="200" fontId="29" fillId="4" borderId="4" xfId="0" applyNumberFormat="1" applyFont="1" applyFill="1" applyBorder="1" applyAlignment="1">
      <x:alignment horizontal="right" vertical="center" wrapText="1"/>
    </x:xf>
    <x:xf numFmtId="0" fontId="20" fillId="0" borderId="5" xfId="0" applyNumberFormat="1" applyFont="1" applyFill="1" applyBorder="1" applyAlignment="1">
      <x:alignment vertical="center" wrapText="1"/>
    </x:xf>
    <x:xf numFmtId="201" fontId="30" fillId="0" borderId="5" xfId="0" applyNumberFormat="1" applyFont="1" applyFill="1" applyBorder="1" applyAlignment="1">
      <x:alignment vertical="center" wrapText="1"/>
    </x:xf>
    <x:xf numFmtId="201" fontId="29" fillId="4" borderId="5" xfId="0" applyNumberFormat="1" applyFont="1" applyFill="1" applyBorder="1" applyAlignment="1">
      <x:alignment horizontal="right" vertical="center" wrapText="1"/>
    </x:xf>
    <x:xf numFmtId="202" fontId="30" fillId="0" borderId="5" xfId="0" applyNumberFormat="1" applyFont="1" applyFill="1" applyBorder="1" applyAlignment="1">
      <x:alignment vertical="center" wrapText="1"/>
    </x:xf>
    <x:xf numFmtId="202" fontId="29" fillId="4" borderId="5" xfId="0" applyNumberFormat="1" applyFont="1" applyFill="1" applyBorder="1" applyAlignment="1">
      <x:alignment horizontal="right" vertical="center" wrapText="1"/>
    </x:xf>
    <x:xf numFmtId="200" fontId="30" fillId="0" borderId="5" xfId="0" applyNumberFormat="1" applyFont="1" applyFill="1" applyBorder="1" applyAlignment="1">
      <x:alignment vertical="center" wrapText="1"/>
    </x:xf>
    <x:xf numFmtId="200" fontId="29" fillId="4" borderId="5" xfId="0" applyNumberFormat="1" applyFont="1" applyFill="1" applyBorder="1" applyAlignment="1">
      <x:alignment horizontal="right" vertical="center" wrapText="1"/>
    </x:xf>
    <x:xf numFmtId="0" fontId="25" fillId="5" borderId="0" xfId="0" applyNumberFormat="1" applyFont="1" applyFill="1" applyBorder="1" applyAlignment="1">
      <x:alignment vertical="center" wrapText="1"/>
    </x:xf>
    <x:xf numFmtId="200" fontId="27" fillId="0" borderId="4" xfId="0" applyNumberFormat="1" applyFont="1" applyFill="1" applyBorder="1" applyAlignment="1">
      <x:alignment wrapText="1"/>
    </x:xf>
    <x:xf numFmtId="200" fontId="27" fillId="0" borderId="5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wrapText="1"/>
    </x:xf>
    <x:xf numFmtId="0" fontId="31" fillId="5" borderId="0" xfId="0" applyNumberFormat="1" applyFont="1" applyFill="1" applyBorder="1" applyAlignment="1">
      <x:alignment vertical="center" wrapText="1"/>
    </x:xf>
    <x:xf numFmtId="202" fontId="27" fillId="0" borderId="4" xfId="0" applyNumberFormat="1" applyFont="1" applyFill="1" applyBorder="1" applyAlignment="1">
      <x:alignment wrapText="1"/>
    </x:xf>
    <x:xf numFmtId="202" fontId="27" fillId="0" borderId="5" xfId="0" applyNumberFormat="1" applyFont="1" applyFill="1" applyBorder="1" applyAlignment="1">
      <x:alignment wrapText="1"/>
    </x:xf>
    <x:xf numFmtId="0" fontId="32" fillId="0" borderId="5" xfId="0" applyNumberFormat="1" applyFont="1" applyFill="1" applyBorder="1" applyAlignment="1">
      <x:alignment wrapText="1"/>
    </x:xf>
    <x:xf numFmtId="202" fontId="33" fillId="0" borderId="5" xfId="0" applyNumberFormat="1" applyFont="1" applyFill="1" applyBorder="1" applyAlignment="1">
      <x:alignment wrapText="1"/>
    </x:xf>
    <x:xf numFmtId="201" fontId="33" fillId="0" borderId="5" xfId="0" applyNumberFormat="1" applyFont="1" applyFill="1" applyBorder="1" applyAlignment="1">
      <x:alignment wrapText="1"/>
    </x:xf>
    <x:xf numFmtId="203" fontId="27" fillId="0" borderId="5" xfId="0" applyNumberFormat="1" applyFont="1" applyFill="1" applyBorder="1" applyAlignment="1">
      <x:alignment wrapText="1"/>
    </x:xf>
    <x:xf numFmtId="200" fontId="27" fillId="0" borderId="4" xfId="0" applyNumberFormat="1" applyFont="1" applyFill="1" applyBorder="1" applyAlignment="1">
      <x:alignment vertical="center" wrapText="1"/>
    </x:xf>
    <x:xf numFmtId="200" fontId="27" fillId="0" borderId="5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vertical="center" wrapText="1"/>
    </x:xf>
    <x:xf numFmtId="202" fontId="27" fillId="0" borderId="4" xfId="0" applyNumberFormat="1" applyFont="1" applyFill="1" applyBorder="1" applyAlignment="1">
      <x:alignment vertical="center" wrapText="1"/>
    </x:xf>
    <x:xf numFmtId="202" fontId="27" fillId="0" borderId="5" xfId="0" applyNumberFormat="1" applyFont="1" applyFill="1" applyBorder="1" applyAlignment="1">
      <x:alignment vertical="center" wrapText="1"/>
    </x:xf>
    <x:xf numFmtId="0" fontId="32" fillId="0" borderId="5" xfId="0" applyNumberFormat="1" applyFont="1" applyFill="1" applyBorder="1" applyAlignment="1">
      <x:alignment vertical="center" wrapText="1"/>
    </x:xf>
    <x:xf numFmtId="202" fontId="33" fillId="0" borderId="5" xfId="0" applyNumberFormat="1" applyFont="1" applyFill="1" applyBorder="1" applyAlignment="1">
      <x:alignment vertical="center" wrapText="1"/>
    </x:xf>
    <x:xf numFmtId="201" fontId="33" fillId="0" borderId="5" xfId="0" applyNumberFormat="1" applyFont="1" applyFill="1" applyBorder="1" applyAlignment="1">
      <x:alignment vertical="center" wrapText="1"/>
    </x:xf>
    <x:xf numFmtId="203" fontId="27" fillId="0" borderId="5" xfId="0" applyNumberFormat="1" applyFont="1" applyFill="1" applyBorder="1" applyAlignment="1">
      <x:alignment vertical="center" wrapText="1"/>
    </x:xf>
    <x:xf numFmtId="204" fontId="20" fillId="0" borderId="4" xfId="0" applyNumberFormat="1" applyFont="1" applyFill="1" applyBorder="1"/>
    <x:xf numFmtId="204" fontId="20" fillId="0" borderId="5" xfId="0" applyNumberFormat="1" applyFont="1" applyFill="1" applyBorder="1"/>
    <x:xf numFmtId="204" fontId="20" fillId="0" borderId="4" xfId="0" applyNumberFormat="1" applyFont="1" applyFill="1" applyBorder="1" applyAlignment="1">
      <x:alignment vertical="center"/>
    </x:xf>
    <x:xf numFmtId="204" fontId="20" fillId="0" borderId="5" xfId="0" applyNumberFormat="1" applyFont="1" applyFill="1" applyBorder="1" applyAlignment="1">
      <x:alignment vertical="center"/>
    </x:xf>
    <x:xf numFmtId="203" fontId="27" fillId="0" borderId="4" xfId="0" applyNumberFormat="1" applyFont="1" applyFill="1" applyBorder="1"/>
    <x:xf numFmtId="203" fontId="27" fillId="0" borderId="5" xfId="0" applyNumberFormat="1" applyFont="1" applyFill="1" applyBorder="1"/>
    <x:xf numFmtId="203" fontId="27" fillId="0" borderId="4" xfId="0" applyNumberFormat="1" applyFont="1" applyFill="1" applyBorder="1" applyAlignment="1">
      <x:alignment vertical="center"/>
    </x:xf>
    <x:xf numFmtId="203" fontId="27" fillId="0" borderId="5" xfId="0" applyNumberFormat="1" applyFont="1" applyFill="1" applyBorder="1" applyAlignment="1">
      <x:alignment vertical="center"/>
    </x:xf>
    <x:xf numFmtId="0" fontId="29" fillId="0" borderId="4" xfId="0" applyNumberFormat="1" applyFont="1" applyFill="1" applyBorder="1"/>
    <x:xf numFmtId="205" fontId="29" fillId="0" borderId="4" xfId="0" applyNumberFormat="1" applyFont="1" applyFill="1" applyBorder="1"/>
    <x:xf numFmtId="200" fontId="29" fillId="0" borderId="4" xfId="0" applyNumberFormat="1" applyFont="1" applyFill="1" applyBorder="1"/>
    <x:xf numFmtId="207" fontId="29" fillId="0" borderId="4" xfId="0" applyNumberFormat="1" applyFont="1" applyFill="1" applyBorder="1"/>
    <x:xf numFmtId="202" fontId="29" fillId="0" borderId="4" xfId="0" applyNumberFormat="1" applyFont="1" applyFill="1" applyBorder="1"/>
    <x:xf numFmtId="206" fontId="29" fillId="0" borderId="4" xfId="0" applyNumberFormat="1" applyFont="1" applyFill="1" applyBorder="1"/>
    <x:xf numFmtId="0" fontId="30" fillId="0" borderId="4" xfId="0" applyNumberFormat="1" applyFont="1" applyFill="1" applyBorder="1"/>
    <x:xf numFmtId="0" fontId="29" fillId="0" borderId="5" xfId="0" applyNumberFormat="1" applyFont="1" applyFill="1" applyBorder="1"/>
    <x:xf numFmtId="205" fontId="29" fillId="0" borderId="5" xfId="0" applyNumberFormat="1" applyFont="1" applyFill="1" applyBorder="1"/>
    <x:xf numFmtId="200" fontId="29" fillId="0" borderId="5" xfId="0" applyNumberFormat="1" applyFont="1" applyFill="1" applyBorder="1"/>
    <x:xf numFmtId="207" fontId="29" fillId="0" borderId="5" xfId="0" applyNumberFormat="1" applyFont="1" applyFill="1" applyBorder="1"/>
    <x:xf numFmtId="202" fontId="29" fillId="0" borderId="5" xfId="0" applyNumberFormat="1" applyFont="1" applyFill="1" applyBorder="1"/>
    <x:xf numFmtId="206" fontId="29" fillId="0" borderId="5" xfId="0" applyNumberFormat="1" applyFont="1" applyFill="1" applyBorder="1"/>
    <x:xf numFmtId="0" fontId="30" fillId="0" borderId="5" xfId="0" applyNumberFormat="1" applyFont="1" applyFill="1" applyBorder="1"/>
    <x:xf numFmtId="0" fontId="29" fillId="0" borderId="6" xfId="0" applyNumberFormat="1" applyFont="1" applyFill="1" applyBorder="1"/>
    <x:xf numFmtId="205" fontId="29" fillId="0" borderId="6" xfId="0" applyNumberFormat="1" applyFont="1" applyFill="1" applyBorder="1"/>
    <x:xf numFmtId="200" fontId="29" fillId="0" borderId="6" xfId="0" applyNumberFormat="1" applyFont="1" applyFill="1" applyBorder="1"/>
    <x:xf numFmtId="207" fontId="29" fillId="0" borderId="6" xfId="0" applyNumberFormat="1" applyFont="1" applyFill="1" applyBorder="1"/>
    <x:xf numFmtId="202" fontId="29" fillId="0" borderId="6" xfId="0" applyNumberFormat="1" applyFont="1" applyFill="1" applyBorder="1"/>
    <x:xf numFmtId="206" fontId="29" fillId="0" borderId="6" xfId="0" applyNumberFormat="1" applyFont="1" applyFill="1" applyBorder="1"/>
    <x:xf numFmtId="0" fontId="30" fillId="0" borderId="6" xfId="0" applyNumberFormat="1" applyFont="1" applyFill="1" applyBorder="1"/>
    <x:xf numFmtId="0" fontId="29" fillId="0" borderId="4" xfId="0" applyNumberFormat="1" applyFont="1" applyFill="1" applyBorder="1" applyAlignment="1">
      <x:alignment vertical="center"/>
    </x:xf>
    <x:xf numFmtId="205" fontId="29" fillId="0" borderId="4" xfId="0" applyNumberFormat="1" applyFont="1" applyFill="1" applyBorder="1" applyAlignment="1">
      <x:alignment vertical="center"/>
    </x:xf>
    <x:xf numFmtId="200" fontId="29" fillId="0" borderId="4" xfId="0" applyNumberFormat="1" applyFont="1" applyFill="1" applyBorder="1" applyAlignment="1">
      <x:alignment vertical="center"/>
    </x:xf>
    <x:xf numFmtId="207" fontId="29" fillId="0" borderId="4" xfId="0" applyNumberFormat="1" applyFont="1" applyFill="1" applyBorder="1" applyAlignment="1">
      <x:alignment vertical="center"/>
    </x:xf>
    <x:xf numFmtId="202" fontId="29" fillId="0" borderId="4" xfId="0" applyNumberFormat="1" applyFont="1" applyFill="1" applyBorder="1" applyAlignment="1">
      <x:alignment vertical="center"/>
    </x:xf>
    <x:xf numFmtId="206" fontId="29" fillId="0" borderId="4" xfId="0" applyNumberFormat="1" applyFont="1" applyFill="1" applyBorder="1" applyAlignment="1">
      <x:alignment vertical="center"/>
    </x:xf>
    <x:xf numFmtId="0" fontId="30" fillId="0" borderId="4" xfId="0" applyNumberFormat="1" applyFont="1" applyFill="1" applyBorder="1" applyAlignment="1">
      <x:alignment vertical="center"/>
    </x:xf>
    <x:xf numFmtId="0" fontId="29" fillId="0" borderId="5" xfId="0" applyNumberFormat="1" applyFont="1" applyFill="1" applyBorder="1" applyAlignment="1">
      <x:alignment vertical="center"/>
    </x:xf>
    <x:xf numFmtId="205" fontId="29" fillId="0" borderId="5" xfId="0" applyNumberFormat="1" applyFont="1" applyFill="1" applyBorder="1" applyAlignment="1">
      <x:alignment vertical="center"/>
    </x:xf>
    <x:xf numFmtId="200" fontId="29" fillId="0" borderId="5" xfId="0" applyNumberFormat="1" applyFont="1" applyFill="1" applyBorder="1" applyAlignment="1">
      <x:alignment vertical="center"/>
    </x:xf>
    <x:xf numFmtId="207" fontId="29" fillId="0" borderId="5" xfId="0" applyNumberFormat="1" applyFont="1" applyFill="1" applyBorder="1" applyAlignment="1">
      <x:alignment vertical="center"/>
    </x:xf>
    <x:xf numFmtId="202" fontId="29" fillId="0" borderId="5" xfId="0" applyNumberFormat="1" applyFont="1" applyFill="1" applyBorder="1" applyAlignment="1">
      <x:alignment vertical="center"/>
    </x:xf>
    <x:xf numFmtId="206" fontId="29" fillId="0" borderId="5" xfId="0" applyNumberFormat="1" applyFont="1" applyFill="1" applyBorder="1" applyAlignment="1">
      <x:alignment vertical="center"/>
    </x:xf>
    <x:xf numFmtId="0" fontId="30" fillId="0" borderId="5" xfId="0" applyNumberFormat="1" applyFont="1" applyFill="1" applyBorder="1" applyAlignment="1">
      <x:alignment vertical="center"/>
    </x:xf>
    <x:xf numFmtId="0" fontId="29" fillId="0" borderId="6" xfId="0" applyNumberFormat="1" applyFont="1" applyFill="1" applyBorder="1" applyAlignment="1">
      <x:alignment vertical="center"/>
    </x:xf>
    <x:xf numFmtId="205" fontId="29" fillId="0" borderId="6" xfId="0" applyNumberFormat="1" applyFont="1" applyFill="1" applyBorder="1" applyAlignment="1">
      <x:alignment vertical="center"/>
    </x:xf>
    <x:xf numFmtId="200" fontId="29" fillId="0" borderId="6" xfId="0" applyNumberFormat="1" applyFont="1" applyFill="1" applyBorder="1" applyAlignment="1">
      <x:alignment vertical="center"/>
    </x:xf>
    <x:xf numFmtId="207" fontId="29" fillId="0" borderId="6" xfId="0" applyNumberFormat="1" applyFont="1" applyFill="1" applyBorder="1" applyAlignment="1">
      <x:alignment vertical="center"/>
    </x:xf>
    <x:xf numFmtId="202" fontId="29" fillId="0" borderId="6" xfId="0" applyNumberFormat="1" applyFont="1" applyFill="1" applyBorder="1" applyAlignment="1">
      <x:alignment vertical="center"/>
    </x:xf>
    <x:xf numFmtId="206" fontId="29" fillId="0" borderId="6" xfId="0" applyNumberFormat="1" applyFont="1" applyFill="1" applyBorder="1" applyAlignment="1">
      <x:alignment vertical="center"/>
    </x:xf>
    <x:xf numFmtId="0" fontId="30" fillId="0" borderId="6" xfId="0" applyNumberFormat="1" applyFont="1" applyFill="1" applyBorder="1" applyAlignment="1">
      <x:alignment vertical="center"/>
    </x:xf>
    <x:xf numFmtId="201" fontId="27" fillId="0" borderId="4" xfId="0" applyNumberFormat="1" applyFont="1" applyFill="1" applyBorder="1" applyAlignment="1">
      <x:alignment wrapText="1"/>
    </x:xf>
    <x:xf numFmtId="201" fontId="29" fillId="4" borderId="4" xfId="0" applyNumberFormat="1" applyFont="1" applyFill="1" applyBorder="1" applyAlignment="1">
      <x:alignment wrapText="1"/>
    </x:xf>
    <x:xf numFmtId="207" fontId="27" fillId="0" borderId="5" xfId="0" applyNumberFormat="1" applyFont="1" applyFill="1" applyBorder="1" applyAlignment="1">
      <x:alignment wrapText="1"/>
    </x:xf>
    <x:xf numFmtId="207" fontId="29" fillId="4" borderId="5" xfId="0" applyNumberFormat="1" applyFont="1" applyFill="1" applyBorder="1" applyAlignment="1">
      <x:alignment wrapText="1"/>
    </x:xf>
    <x:xf numFmtId="201" fontId="27" fillId="0" borderId="5" xfId="0" applyNumberFormat="1" applyFont="1" applyFill="1" applyBorder="1" applyAlignment="1">
      <x:alignment wrapText="1"/>
    </x:xf>
    <x:xf numFmtId="201" fontId="29" fillId="4" borderId="5" xfId="0" applyNumberFormat="1" applyFont="1" applyFill="1" applyBorder="1" applyAlignment="1">
      <x:alignment wrapText="1"/>
    </x:xf>
    <x:xf numFmtId="200" fontId="29" fillId="4" borderId="5" xfId="0" applyNumberFormat="1" applyFont="1" applyFill="1" applyBorder="1" applyAlignment="1">
      <x:alignment wrapText="1"/>
    </x:xf>
    <x:xf numFmtId="201" fontId="27" fillId="0" borderId="4" xfId="0" applyNumberFormat="1" applyFont="1" applyFill="1" applyBorder="1" applyAlignment="1">
      <x:alignment vertical="center" wrapText="1"/>
    </x:xf>
    <x:xf numFmtId="201" fontId="29" fillId="4" borderId="4" xfId="0" applyNumberFormat="1" applyFont="1" applyFill="1" applyBorder="1" applyAlignment="1">
      <x:alignment vertical="center" wrapText="1"/>
    </x:xf>
    <x:xf numFmtId="207" fontId="27" fillId="0" borderId="5" xfId="0" applyNumberFormat="1" applyFont="1" applyFill="1" applyBorder="1" applyAlignment="1">
      <x:alignment vertical="center" wrapText="1"/>
    </x:xf>
    <x:xf numFmtId="207" fontId="29" fillId="4" borderId="5" xfId="0" applyNumberFormat="1" applyFont="1" applyFill="1" applyBorder="1" applyAlignment="1">
      <x:alignment vertical="center" wrapText="1"/>
    </x:xf>
    <x:xf numFmtId="201" fontId="27" fillId="0" borderId="5" xfId="0" applyNumberFormat="1" applyFont="1" applyFill="1" applyBorder="1" applyAlignment="1">
      <x:alignment vertical="center" wrapText="1"/>
    </x:xf>
    <x:xf numFmtId="201" fontId="29" fillId="4" borderId="5" xfId="0" applyNumberFormat="1" applyFont="1" applyFill="1" applyBorder="1" applyAlignment="1">
      <x:alignment vertical="center" wrapText="1"/>
    </x:xf>
    <x:xf numFmtId="200" fontId="29" fillId="4" borderId="5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wrapText="1"/>
    </x:xf>
    <x:xf numFmtId="0" fontId="29" fillId="4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0" fontId="29" fillId="4" borderId="0" xfId="0" applyNumberFormat="1" applyFont="1" applyFill="1" applyBorder="1" applyAlignment="1">
      <x:alignment vertical="center" wrapText="1"/>
    </x:xf>
    <x:xf numFmtId="205" fontId="20" fillId="0" borderId="0" xfId="0" applyNumberFormat="1" applyFont="1" applyFill="1" applyBorder="1" applyAlignment="1">
      <x:alignment wrapText="1"/>
    </x:xf>
    <x:xf numFmtId="205" fontId="20" fillId="0" borderId="0" xfId="0" applyNumberFormat="1" applyFont="1" applyFill="1" applyBorder="1" applyAlignment="1">
      <x:alignment vertical="center" wrapText="1"/>
    </x:xf>
    <x:xf numFmtId="0" fontId="27" fillId="0" borderId="4" xfId="0" applyNumberFormat="1" applyFont="1" applyFill="1" applyBorder="1" applyAlignment="1">
      <x:alignment wrapText="1"/>
    </x:xf>
    <x:xf numFmtId="0" fontId="27" fillId="0" borderId="5" xfId="0" applyNumberFormat="1" applyFont="1" applyFill="1" applyBorder="1" applyAlignment="1">
      <x:alignment wrapText="1"/>
    </x:xf>
    <x:xf numFmtId="0" fontId="34" fillId="5" borderId="0" xfId="0" applyNumberFormat="1" applyFont="1" applyFill="1" applyBorder="1" applyAlignment="1">
      <x:alignment wrapText="1"/>
    </x:xf>
    <x:xf numFmtId="0" fontId="35" fillId="3" borderId="0" xfId="0" applyNumberFormat="1" applyFont="1" applyFill="1" applyBorder="1" applyAlignment="1">
      <x:alignment horizontal="center" wrapText="1"/>
    </x:xf>
    <x:xf numFmtId="0" fontId="27" fillId="0" borderId="4" xfId="0" applyNumberFormat="1" applyFont="1" applyFill="1" applyBorder="1" applyAlignment="1">
      <x:alignment vertical="center" wrapText="1"/>
    </x:xf>
    <x:xf numFmtId="0" fontId="27" fillId="0" borderId="5" xfId="0" applyNumberFormat="1" applyFont="1" applyFill="1" applyBorder="1" applyAlignment="1">
      <x:alignment vertical="center" wrapText="1"/>
    </x:xf>
    <x:xf numFmtId="0" fontId="34" fillId="5" borderId="0" xfId="0" applyNumberFormat="1" applyFont="1" applyFill="1" applyBorder="1" applyAlignment="1">
      <x:alignment vertical="center" wrapText="1"/>
    </x:xf>
    <x:xf numFmtId="0" fontId="3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D14343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D14343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D14343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056333"/>
      </x:font>
      <x:fill>
        <x:patternFill patternType="solid">
          <x:bgColor rgb="FFEAF7EF"/>
        </x:patternFill>
      </x:fill>
    </x:dxf>
    <x:dxf>
      <x:font>
        <x:b/>
        <x:color rgb="FFD14343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9cd20b62e4d28" /><Relationship Type="http://schemas.openxmlformats.org/officeDocument/2006/relationships/theme" Target="/xl/theme/theme1.xml" Id="R3d445275887d456b" /><Relationship Type="http://schemas.openxmlformats.org/officeDocument/2006/relationships/sharedStrings" Target="/xl/sharedStrings.xml" Id="R8b8d8859bb2749a9" /><Relationship Type="http://schemas.openxmlformats.org/officeDocument/2006/relationships/worksheet" Target="/xl/worksheets/sheet1.xml" Id="Rd95ea699925e4f04" /><Relationship Type="http://schemas.openxmlformats.org/officeDocument/2006/relationships/worksheet" Target="/xl/worksheets/sheet2.xml" Id="R5c28e2344b2f4a5c" /><Relationship Type="http://schemas.openxmlformats.org/officeDocument/2006/relationships/worksheet" Target="/xl/worksheets/sheet3.xml" Id="Re4d033c634db4be6" /><Relationship Type="http://schemas.openxmlformats.org/officeDocument/2006/relationships/worksheet" Target="/xl/worksheets/sheet4.xml" Id="Re4b64fda8a7742b9" /><Relationship Type="http://schemas.openxmlformats.org/officeDocument/2006/relationships/worksheet" Target="/xl/worksheets/sheet5.xml" Id="Rc6ddb1997d414d82" /><Relationship Type="http://schemas.openxmlformats.org/officeDocument/2006/relationships/worksheet" Target="/xl/worksheets/sheet6.xml" Id="R2e640ff85e794957" /><Relationship Type="http://schemas.openxmlformats.org/officeDocument/2006/relationships/worksheet" Target="/xl/worksheets/sheet7.xml" Id="R7b8242c901144bd0" /><Relationship Type="http://schemas.openxmlformats.org/officeDocument/2006/relationships/worksheet" Target="/xl/worksheets/sheet8.xml" Id="R4c9aa6c5a7f34e5d" /><Relationship Type="http://schemas.openxmlformats.org/officeDocument/2006/relationships/worksheet" Target="/xl/worksheets/sheet9.xml" Id="R834bb601101549f4" /><Relationship Type="http://schemas.openxmlformats.org/officeDocument/2006/relationships/worksheet" Target="/xl/worksheets/sheet10.xml" Id="R9beb410fbce0479c" /><Relationship Type="http://schemas.microsoft.com/office/2017/10/relationships/person" Target="/xl/persons/person.xml" Id="R3b229174ffbf42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33279de3c644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Illustrative monthly revenue by scenario (NGN)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Monthly revenue</c:v>
          </c:tx>
          <c:cat>
            <c:strRef>
              <c:f>'Summary'!$A$14:$A$16</c:f>
              <c:strCache>
                <c:ptCount val="0"/>
              </c:strCache>
            </c:strRef>
          </c:cat>
          <c:val>
            <c:numRef>
              <c:f>'Summary'!$B$14:$B$16</c:f>
              <c:numCache>
                <c:formatCode>"NGN" #,##0;[Red]("NGN"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GN&quot; 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33279de3c6446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waTrade" id="{C1A67629-D5AA-4CE9-BD1D-92222376831F}"/>
</xltc:personList>
</file>

<file path=xl/tables/table1.xml><?xml version="1.0" encoding="utf-8"?>
<x:table xmlns:x="http://schemas.openxmlformats.org/spreadsheetml/2006/main" id="1" name="PilotRequestData" displayName="PilotRequestData" ref="A4:Z204" headerRowCount="1" totalsRowCount="0" totalsRowShown="0">
  <x:tableColumns count="26">
    <x:tableColumn id="1" name="Request ID"/>
    <x:tableColumn id="2" name="Request date"/>
    <x:tableColumn id="3" name="Channel"/>
    <x:tableColumn id="4" name="Source type"/>
    <x:tableColumn id="5" name="Source/partner code"/>
    <x:tableColumn id="6" name="Valid request?"/>
    <x:tableColumn id="7" name="Image clarification?"/>
    <x:tableColumn id="8" name="Lines submitted"/>
    <x:tableColumn id="9" name="Lines corrected"/>
    <x:tableColumn id="10" name="Quote issued?"/>
    <x:tableColumn id="11" name="Minutes to quote"/>
    <x:tableColumn id="12" name="Availability outcome"/>
    <x:tableColumn id="13" name="Quote value NGN"/>
    <x:tableColumn id="14" name="Paid?"/>
    <x:tableColumn id="15" name="Paid value NGN"/>
    <x:tableColumn id="16" name="Fulfilment choice"/>
    <x:tableColumn id="17" name="Delivery zone"/>
    <x:tableColumn id="18" name="Delivery fee NGN"/>
    <x:tableColumn id="19" name="Promise time"/>
    <x:tableColumn id="20" name="Ready/handoff time"/>
    <x:tableColumn id="21" name="Ready on promise?"/>
    <x:tableColumn id="22" name="Cancelled/refunded?"/>
    <x:tableColumn id="23" name="Pharmacy error?"/>
    <x:tableColumn id="24" name="Safety incident?"/>
    <x:tableColumn id="25" name="Privacy incident?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Inputs" displayName="ResearchInputs" ref="A4:H29" headerRowCount="1" totalsRowCount="0" totalsRowShown="0">
  <x:tableColumns count="8">
    <x:tableColumn id="1" name="Category"/>
    <x:tableColumn id="2" name="Data item"/>
    <x:tableColumn id="3" name="Decision supported"/>
    <x:tableColumn id="4" name="Owner/source"/>
    <x:tableColumn id="5" name="Status"/>
    <x:tableColumn id="6" name="Required before"/>
    <x:tableColumn id="7" name="Current value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Log" displayName="SourceLog" ref="A4:H14" headerRowCount="1" totalsRowCount="0" totalsRowShown="0">
  <x:tableColumns count="8">
    <x:tableColumn id="1" name="ID"/>
    <x:tableColumn id="2" name="Category"/>
    <x:tableColumn id="3" name="Source"/>
    <x:tableColumn id="4" name="URL / reference"/>
    <x:tableColumn id="5" name="What it supports"/>
    <x:tableColumn id="6" name="Caveat"/>
    <x:tableColumn id="7" name="Accessed"/>
    <x:tableColumn id="8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9" dT="2026-08-07T11:17:27.085" personId="{C1A67629-D5AA-4CE9-BD1D-92222376831F}" id="{EE8A44DC-C802-419D-B3DC-0108655CA521}">
    <xltc:text>Illustrative pricing/volume hypothesis. Replace with observed pharmacy or pilot evidence.</xltc:text>
  </xltc:threadedComment>
  <xltc:threadedComment ref="D9" dT="2026-08-07T11:17:27.088" personId="{C1A67629-D5AA-4CE9-BD1D-92222376831F}" id="{7F8EE49A-5A9A-A22D-C031-5A3AF12327EC}">
    <xltc:text>Illustrative pricing/volume hypothesis. Replace with observed pharmacy or pilot evidence.</xltc:text>
  </xltc:threadedComment>
  <xltc:threadedComment ref="E9" dT="2026-08-07T11:17:27.088" personId="{C1A67629-D5AA-4CE9-BD1D-92222376831F}" id="{9F7497ED-7C0C-BD41-4847-07289AC3AEDD}">
    <xltc:text>Illustrative pricing/volume hypothesis. Replace with observed pharmacy or pilot evidence.</xltc:text>
  </xltc:threadedComment>
  <xltc:threadedComment ref="C15" dT="2026-08-07T11:17:27.088" personId="{C1A67629-D5AA-4CE9-BD1D-92222376831F}" id="{CD6E01E9-D525-0BB8-6DBF-713FCCB42AAB}">
    <xltc:text>Illustrative pricing/volume hypothesis. Replace with observed pharmacy or pilot evidence.</xltc:text>
  </xltc:threadedComment>
  <xltc:threadedComment ref="D15" dT="2026-08-07T11:17:27.088" personId="{C1A67629-D5AA-4CE9-BD1D-92222376831F}" id="{D215C337-73F0-443E-AD45-71D20ED81CED}">
    <xltc:text>Illustrative pricing/volume hypothesis. Replace with observed pharmacy or pilot evidence.</xltc:text>
  </xltc:threadedComment>
  <xltc:threadedComment ref="E15" dT="2026-08-07T11:17:27.088" personId="{C1A67629-D5AA-4CE9-BD1D-92222376831F}" id="{2A87C628-88A3-0632-ACFF-82D5591605BE}">
    <xltc:text>Illustrative pricing/volume hypothesis. Replace with observed pharmacy or pilot evidence.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27ec5e2b5644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8d2feb6de6f4302" /><Relationship Type="http://schemas.openxmlformats.org/officeDocument/2006/relationships/vmlDrawing" Target="/xl/drawings/vmldrawing.vml" Id="Re81a968a7c3a4b3e" /><Relationship Type="http://schemas.microsoft.com/office/2017/10/relationships/threadedComment" Target="/xl/threadedcomments/threadedcomment.xml" Id="R135357fa243541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91278865d91f4b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e0099f2daf724a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aadc1ea69e6d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31" hidden="0" customWidth="1"/>
    <x:col min="4" max="4" width="22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34" customHeight="1">
      <x:c r="A1" s="167" t="str">
        <x:v>EwaTrade Prescription Commerce Commercial Model</x:v>
      </x:c>
      <x:c r="B1" s="167"/>
      <x:c r="C1" s="167"/>
      <x:c r="D1" s="167"/>
      <x:c r="E1" s="167"/>
      <x:c r="F1" s="167"/>
      <x:c r="G1" s="167"/>
      <x:c r="H1" s="167"/>
      <x:c r="I1" s="167"/>
      <x:c r="J1" s="167"/>
    </x:row>
    <x:row r="2" ht="30" customHeight="1">
      <x:c r="A2" s="168" t="str">
        <x:v>Illustrative commercialization model for pharmacy-owned prescription intake, quotation, payment, pickup, and delivery.</x:v>
      </x:c>
      <x:c r="B2" s="168"/>
      <x:c r="C2" s="168"/>
      <x:c r="D2" s="168"/>
      <x:c r="E2" s="168"/>
      <x:c r="F2" s="168"/>
      <x:c r="G2" s="168"/>
      <x:c r="H2" s="168"/>
      <x:c r="I2" s="168"/>
      <x:c r="J2" s="168"/>
    </x:row>
    <x:row r="3">
      <x:c r="A3" s="200"/>
      <x:c r="B3" s="200"/>
      <x:c r="C3" s="200"/>
      <x:c r="D3" s="200"/>
      <x:c r="E3" s="200"/>
      <x:c r="F3" s="200"/>
      <x:c r="G3" s="200"/>
      <x:c r="H3" s="200"/>
      <x:c r="I3" s="200"/>
      <x:c r="J3" s="200"/>
    </x:row>
    <x:row r="4">
      <x:c r="A4" s="201" t="str">
        <x:v>EXECUTIVE SUMMARY</x:v>
      </x:c>
      <x:c r="B4" s="201"/>
      <x:c r="C4" s="201"/>
      <x:c r="D4" s="201"/>
      <x:c r="E4" s="201"/>
      <x:c r="F4" s="201"/>
      <x:c r="G4" s="201"/>
      <x:c r="H4" s="201"/>
      <x:c r="I4" s="201"/>
      <x:c r="J4" s="201"/>
    </x:row>
    <x:row r="5">
      <x:c r="A5" s="171" t="str">
        <x:v>The recommended model combines implementation, monthly branch subscription, completed-order fees, and optional delivery coordination margin. All outputs are hypotheses until the pharmacy baseline and pilot replace the editable assumptions.</x:v>
      </x:c>
      <x:c r="B5" s="171"/>
      <x:c r="C5" s="171"/>
      <x:c r="D5" s="171"/>
      <x:c r="E5" s="171"/>
      <x:c r="F5" s="171"/>
      <x:c r="G5" s="171"/>
      <x:c r="H5" s="171"/>
      <x:c r="I5" s="171"/>
      <x:c r="J5" s="171"/>
    </x:row>
    <x:row r="6">
      <x:c r="A6" s="171"/>
      <x:c r="B6" s="171"/>
      <x:c r="C6" s="171"/>
      <x:c r="D6" s="171"/>
      <x:c r="E6" s="171"/>
      <x:c r="F6" s="171"/>
      <x:c r="G6" s="171"/>
      <x:c r="H6" s="171"/>
      <x:c r="I6" s="171"/>
      <x:c r="J6" s="171"/>
    </x:row>
    <x:row r="7">
      <x:c r="A7" s="200"/>
      <x:c r="B7" s="200"/>
      <x:c r="C7" s="200"/>
      <x:c r="D7" s="200"/>
      <x:c r="E7" s="200"/>
      <x:c r="F7" s="200"/>
      <x:c r="G7" s="200"/>
      <x:c r="H7" s="200"/>
      <x:c r="I7" s="200"/>
      <x:c r="J7" s="200"/>
    </x:row>
    <x:row r="8">
      <x:c r="A8" s="202" t="str">
        <x:v>Monthly revenue / branch</x:v>
      </x:c>
      <x:c r="B8" s="202"/>
      <x:c r="C8" s="200"/>
      <x:c r="D8" s="202" t="str">
        <x:v>Monthly contribution / branch</x:v>
      </x:c>
      <x:c r="E8" s="202"/>
      <x:c r="F8" s="200"/>
      <x:c r="G8" s="202" t="str">
        <x:v>Contribution margin</x:v>
      </x:c>
      <x:c r="H8" s="202"/>
      <x:c r="I8" s="202" t="str">
        <x:v>Pharmacy value multiple</x:v>
      </x:c>
      <x:c r="J8" s="202"/>
    </x:row>
    <x:row r="9">
      <x:c r="A9" s="173" t="n">
        <x:f>'Unit Economics'!B16</x:f>
        <x:v>333572.9166666667</x:v>
      </x:c>
      <x:c r="B9" s="174"/>
      <x:c r="C9" s="200"/>
      <x:c r="D9" s="173" t="n">
        <x:f>'Unit Economics'!B22</x:f>
        <x:v>201072.9166666667</x:v>
      </x:c>
      <x:c r="E9" s="174"/>
      <x:c r="F9" s="200"/>
      <x:c r="G9" s="175" t="n">
        <x:f>'Unit Economics'!B23</x:f>
        <x:v>0.6027854979233676</x:v>
      </x:c>
      <x:c r="H9" s="176"/>
      <x:c r="I9" s="177" t="n">
        <x:f>'Unit Economics'!B31</x:f>
        <x:v>1.8053491827637442</x:v>
      </x:c>
      <x:c r="J9" s="178"/>
    </x:row>
    <x:row r="10">
      <x:c r="A10" s="179"/>
      <x:c r="B10" s="180"/>
      <x:c r="C10" s="200"/>
      <x:c r="D10" s="179"/>
      <x:c r="E10" s="180"/>
      <x:c r="F10" s="200"/>
      <x:c r="G10" s="181"/>
      <x:c r="H10" s="182"/>
      <x:c r="I10" s="183"/>
      <x:c r="J10" s="184"/>
    </x:row>
    <x:row r="11">
      <x:c r="A11" s="200"/>
      <x:c r="B11" s="200"/>
      <x:c r="C11" s="200"/>
      <x:c r="D11" s="200"/>
      <x:c r="E11" s="200"/>
      <x:c r="F11" s="200"/>
      <x:c r="G11" s="200"/>
      <x:c r="H11" s="200"/>
      <x:c r="I11" s="200"/>
      <x:c r="J11" s="200"/>
    </x:row>
    <x:row r="12" ht="22" customHeight="1">
      <x:c r="A12" s="185" t="str">
        <x:v>SCENARIO COMPARISON</x:v>
      </x:c>
      <x:c r="B12" s="185"/>
      <x:c r="C12" s="185"/>
      <x:c r="D12" s="185"/>
      <x:c r="E12" s="185"/>
      <x:c r="F12" s="185"/>
      <x:c r="G12" s="185"/>
      <x:c r="H12" s="185"/>
      <x:c r="I12" s="185"/>
      <x:c r="J12" s="185"/>
    </x:row>
    <x:row r="13">
      <x:c r="A13" s="186" t="str">
        <x:v>Scenario</x:v>
      </x:c>
      <x:c r="B13" s="187" t="str">
        <x:v>Monthly revenue</x:v>
      </x:c>
      <x:c r="C13" s="187" t="str">
        <x:v>Contribution</x:v>
      </x:c>
      <x:c r="D13" s="188" t="str">
        <x:v>Margin</x:v>
      </x:c>
      <x:c r="E13" s="200"/>
      <x:c r="F13" s="200"/>
      <x:c r="G13" s="200"/>
      <x:c r="H13" s="200"/>
      <x:c r="I13" s="200"/>
      <x:c r="J13" s="200"/>
    </x:row>
    <x:row r="14">
      <x:c r="A14" s="203" t="str">
        <x:f>'Scenarios'!A6</x:f>
        <x:v>Conservative</x:v>
      </x:c>
      <x:c r="B14" s="204" t="n">
        <x:f>'Scenarios'!D6</x:f>
        <x:v>141665.33333333334</x:v>
      </x:c>
      <x:c r="C14" s="204" t="n">
        <x:f>'Scenarios'!F6</x:f>
        <x:v>42665.33333333334</x:v>
      </x:c>
      <x:c r="D14" s="205" t="n">
        <x:f>'Scenarios'!G6</x:f>
        <x:v>0.3011698933637023</x:v>
      </x:c>
      <x:c r="E14" s="200"/>
      <x:c r="F14" s="200"/>
      <x:c r="G14" s="200"/>
      <x:c r="H14" s="200"/>
      <x:c r="I14" s="200"/>
      <x:c r="J14" s="200"/>
    </x:row>
    <x:row r="15">
      <x:c r="A15" s="206" t="str">
        <x:f>'Scenarios'!A7</x:f>
        <x:v>Base</x:v>
      </x:c>
      <x:c r="B15" s="207" t="n">
        <x:f>'Scenarios'!D7</x:f>
        <x:v>333572.9166666667</x:v>
      </x:c>
      <x:c r="C15" s="207" t="n">
        <x:f>'Scenarios'!F7</x:f>
        <x:v>201072.9166666667</x:v>
      </x:c>
      <x:c r="D15" s="208" t="n">
        <x:f>'Scenarios'!G7</x:f>
        <x:v>0.6027854979233676</x:v>
      </x:c>
      <x:c r="E15" s="200"/>
      <x:c r="F15" s="200"/>
      <x:c r="G15" s="200"/>
      <x:c r="H15" s="200"/>
      <x:c r="I15" s="200"/>
      <x:c r="J15" s="200"/>
    </x:row>
    <x:row r="16">
      <x:c r="A16" s="206" t="str">
        <x:f>'Scenarios'!A8</x:f>
        <x:v>Growth</x:v>
      </x:c>
      <x:c r="B16" s="207" t="n">
        <x:f>'Scenarios'!D8</x:f>
        <x:v>910686.6666666666</x:v>
      </x:c>
      <x:c r="C16" s="207" t="n">
        <x:f>'Scenarios'!F8</x:f>
        <x:v>730686.6666666666</x:v>
      </x:c>
      <x:c r="D16" s="208" t="n">
        <x:f>'Scenarios'!G8</x:f>
        <x:v>0.8023469469923794</x:v>
      </x:c>
      <x:c r="E16" s="200"/>
      <x:c r="F16" s="200"/>
      <x:c r="G16" s="200"/>
      <x:c r="H16" s="200"/>
      <x:c r="I16" s="200"/>
      <x:c r="J16" s="200"/>
    </x:row>
    <x:row r="17">
      <x:c r="A17" s="200"/>
      <x:c r="B17" s="200"/>
      <x:c r="C17" s="200"/>
      <x:c r="D17" s="200"/>
      <x:c r="E17" s="200"/>
      <x:c r="F17" s="200"/>
      <x:c r="G17" s="200"/>
      <x:c r="H17" s="200"/>
      <x:c r="I17" s="200"/>
      <x:c r="J17" s="200"/>
    </x:row>
    <x:row r="18" ht="22" customHeight="1">
      <x:c r="A18" s="185" t="str">
        <x:v>ACTIVE-SCENARIO OPERATING VIEW</x:v>
      </x:c>
      <x:c r="B18" s="185"/>
      <x:c r="C18" s="185"/>
      <x:c r="D18" s="185"/>
      <x:c r="E18" s="200"/>
      <x:c r="F18" s="200"/>
      <x:c r="G18" s="200"/>
      <x:c r="H18" s="200"/>
      <x:c r="I18" s="200"/>
      <x:c r="J18" s="200"/>
    </x:row>
    <x:row r="19">
      <x:c r="A19" s="209" t="str">
        <x:v>Requests / month</x:v>
      </x:c>
      <x:c r="B19" s="210" t="n">
        <x:f>'Unit Economics'!B6</x:f>
        <x:v>1500</x:v>
      </x:c>
      <x:c r="C19" s="203" t="str">
        <x:v>Paid orders / month</x:v>
      </x:c>
      <x:c r="D19" s="210" t="n">
        <x:f>'Unit Economics'!B8</x:f>
        <x:v>675</x:v>
      </x:c>
      <x:c r="E19" s="200"/>
      <x:c r="F19" s="200"/>
      <x:c r="G19" s="200"/>
      <x:c r="H19" s="200"/>
      <x:c r="I19" s="200"/>
      <x:c r="J19" s="200"/>
    </x:row>
    <x:row r="20">
      <x:c r="A20" s="211" t="str">
        <x:v>Quotes / month</x:v>
      </x:c>
      <x:c r="B20" s="212" t="n">
        <x:f>'Unit Economics'!B7</x:f>
        <x:v>1350</x:v>
      </x:c>
      <x:c r="C20" s="206" t="str">
        <x:v>Delivery orders / month</x:v>
      </x:c>
      <x:c r="D20" s="212" t="n">
        <x:f>'Unit Economics'!B9</x:f>
        <x:v>236.24999999999997</x:v>
      </x:c>
      <x:c r="E20" s="200"/>
      <x:c r="F20" s="200"/>
      <x:c r="G20" s="200"/>
      <x:c r="H20" s="200"/>
      <x:c r="I20" s="200"/>
      <x:c r="J20" s="200"/>
    </x:row>
    <x:row r="21">
      <x:c r="A21" s="211" t="str">
        <x:v>Revenue / request</x:v>
      </x:c>
      <x:c r="B21" s="207" t="n">
        <x:f>'Unit Economics'!B24</x:f>
        <x:v>222.38194444444446</x:v>
      </x:c>
      <x:c r="C21" s="207" t="str">
        <x:v>Contribution / request</x:v>
      </x:c>
      <x:c r="D21" s="207" t="n">
        <x:f>'Unit Economics'!B25</x:f>
        <x:v>134.04861111111111</x:v>
      </x:c>
      <x:c r="E21" s="200"/>
      <x:c r="F21" s="200"/>
      <x:c r="G21" s="200"/>
      <x:c r="H21" s="200"/>
      <x:c r="I21" s="200"/>
      <x:c r="J21" s="200"/>
    </x:row>
    <x:row r="22">
      <x:c r="A22" s="211" t="str">
        <x:v>24-month ending branches</x:v>
      </x:c>
      <x:c r="B22" s="212" t="n">
        <x:f>'24-Month Plan'!C29</x:f>
        <x:v>6</x:v>
      </x:c>
      <x:c r="C22" s="206" t="str">
        <x:v>Month 24 contribution after overhead</x:v>
      </x:c>
      <x:c r="D22" s="207" t="n">
        <x:f>'24-Month Plan'!Q29</x:f>
        <x:v>531437.5</x:v>
      </x:c>
      <x:c r="E22" s="200"/>
      <x:c r="F22" s="200"/>
      <x:c r="G22" s="200"/>
      <x:c r="H22" s="200"/>
      <x:c r="I22" s="200"/>
      <x:c r="J22" s="200"/>
    </x:row>
    <x:row r="23">
      <x:c r="A23" s="211" t="str">
        <x:v>Model status</x:v>
      </x:c>
      <x:c r="B23" s="206" t="str">
        <x:f>'Checks'!D13</x:f>
        <x:v>PASS</x:v>
      </x:c>
      <x:c r="C23" s="206" t="str">
        <x:v>Pilot data status</x:v>
      </x:c>
      <x:c r="D23" s="206" t="str">
        <x:v>No data entered</x:v>
      </x:c>
      <x:c r="E23" s="200"/>
      <x:c r="F23" s="200"/>
      <x:c r="G23" s="200"/>
      <x:c r="H23" s="200"/>
      <x:c r="I23" s="200"/>
      <x:c r="J23" s="200"/>
    </x:row>
    <x:row r="24">
      <x:c r="A24" s="200"/>
      <x:c r="B24" s="200"/>
      <x:c r="C24" s="200"/>
      <x:c r="D24" s="200"/>
      <x:c r="E24" s="200"/>
      <x:c r="F24" s="200"/>
      <x:c r="G24" s="200"/>
      <x:c r="H24" s="200"/>
      <x:c r="I24" s="200"/>
      <x:c r="J24" s="200"/>
    </x:row>
    <x:row r="25">
      <x:c r="A25" s="200"/>
      <x:c r="B25" s="200"/>
      <x:c r="C25" s="200"/>
      <x:c r="D25" s="200"/>
      <x:c r="E25" s="200"/>
      <x:c r="F25" s="200"/>
      <x:c r="G25" s="200"/>
      <x:c r="H25" s="200"/>
      <x:c r="I25" s="200"/>
      <x:c r="J25" s="200"/>
    </x:row>
    <x:row r="26">
      <x:c r="A26" s="199" t="str">
        <x:v>Use this workbook as a decision model, not evidence of demand. Replace blue/yellow cells, enter de-identified pilot records, and require all Checks to pass before commercial approval.</x:v>
      </x:c>
      <x:c r="B26" s="199"/>
      <x:c r="C26" s="199"/>
      <x:c r="D26" s="199"/>
      <x:c r="E26" s="199"/>
      <x:c r="F26" s="199"/>
      <x:c r="G26" s="199"/>
      <x:c r="H26" s="199"/>
      <x:c r="I26" s="199"/>
      <x:c r="J26" s="199"/>
    </x:row>
    <x:row r="27">
      <x:c r="A27" s="199"/>
      <x:c r="B27" s="199"/>
      <x:c r="C27" s="199"/>
      <x:c r="D27" s="199"/>
      <x:c r="E27" s="199"/>
      <x:c r="F27" s="199"/>
      <x:c r="G27" s="199"/>
      <x:c r="H27" s="199"/>
      <x:c r="I27" s="199"/>
      <x:c r="J27" s="199"/>
    </x:row>
  </x:sheetData>
  <x:mergeCells>
    <x:mergeCell ref="A1:J1"/>
    <x:mergeCell ref="A2:J2"/>
    <x:mergeCell ref="A4:J4"/>
    <x:mergeCell ref="A5:J6"/>
    <x:mergeCell ref="A8:B8"/>
    <x:mergeCell ref="A9:B10"/>
    <x:mergeCell ref="D8:E8"/>
    <x:mergeCell ref="D9:E10"/>
    <x:mergeCell ref="G8:H8"/>
    <x:mergeCell ref="G9:H10"/>
    <x:mergeCell ref="I8:J8"/>
    <x:mergeCell ref="I9:J10"/>
    <x:mergeCell ref="A12:J12"/>
    <x:mergeCell ref="A18:D18"/>
    <x:mergeCell ref="A26:J27"/>
  </x:mergeCells>
  <x:conditionalFormatting sqref="B23:B23">
    <x:cfRule type="containsText" dxfId="12" priority="1" operator="containsText" text="OK"/>
    <x:cfRule type="containsText" dxfId="13" priority="2" operator="containsText" text="PASS"/>
    <x:cfRule type="containsText" dxfId="14" priority="3" operator="containsText" text="FAIL"/>
    <x:cfRule type="containsText" dxfId="15" priority="4" operator="containsText" text="ATTENTION"/>
  </x:conditionalFormatting>
  <x:pageMargins left="0.7" right="0.7" top="0.75" bottom="0.75" header="0.3" footer="0.3"/>
  <x:drawing xmlns:r="http://schemas.openxmlformats.org/officeDocument/2006/relationships" r:id="Rf427ec5e2b5644f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4" customHeight="1">
      <x:c r="A1" s="167" t="str">
        <x:v>Commercial Model Assumptions</x:v>
      </x:c>
      <x:c r="B1" s="167"/>
      <x:c r="C1" s="167"/>
      <x:c r="D1" s="167"/>
      <x:c r="E1" s="167"/>
      <x:c r="F1" s="167"/>
    </x:row>
    <x:row r="2" ht="30" customHeight="1">
      <x:c r="A2" s="168" t="str">
        <x:v>Blue/yellow cells are editable hypotheses. Replace them with pharmacy and pilot data before a commercial decision.</x:v>
      </x:c>
      <x:c r="B2" s="168"/>
      <x:c r="C2" s="168"/>
      <x:c r="D2" s="168"/>
      <x:c r="E2" s="168"/>
      <x:c r="F2" s="168"/>
    </x:row>
    <x:row r="3">
      <x:c r="A3" s="200"/>
      <x:c r="B3" s="200"/>
      <x:c r="C3" s="200"/>
      <x:c r="D3" s="200"/>
      <x:c r="E3" s="200"/>
      <x:c r="F3" s="200"/>
    </x:row>
    <x:row r="4">
      <x:c r="A4" s="200" t="str">
        <x:v>Active scenario</x:v>
      </x:c>
      <x:c r="B4" s="226" t="str">
        <x:v>Base</x:v>
      </x:c>
      <x:c r="C4" s="200"/>
      <x:c r="D4" s="201" t="str">
        <x:v>Formatting legend</x:v>
      </x:c>
      <x:c r="E4" s="201"/>
      <x:c r="F4" s="201"/>
    </x:row>
    <x:row r="5">
      <x:c r="A5" s="200"/>
      <x:c r="B5" s="200"/>
      <x:c r="C5" s="200"/>
      <x:c r="D5" s="226" t="str">
        <x:v>Editable assumption</x:v>
      </x:c>
      <x:c r="E5" s="227" t="str">
        <x:v>Formula</x:v>
      </x:c>
      <x:c r="F5" s="228" t="str">
        <x:v>Cross-sheet link</x:v>
      </x:c>
    </x:row>
    <x:row r="6">
      <x:c r="A6" s="200"/>
      <x:c r="B6" s="200"/>
      <x:c r="C6" s="200"/>
      <x:c r="D6" s="200"/>
      <x:c r="E6" s="200"/>
      <x:c r="F6" s="200"/>
    </x:row>
    <x:row r="7">
      <x:c r="A7" s="200"/>
      <x:c r="B7" s="200"/>
      <x:c r="C7" s="200"/>
      <x:c r="D7" s="200"/>
      <x:c r="E7" s="200"/>
      <x:c r="F7" s="200"/>
    </x:row>
    <x:row r="8">
      <x:c r="A8" s="186" t="str">
        <x:v>Driver</x:v>
      </x:c>
      <x:c r="B8" s="187" t="str">
        <x:v>Active</x:v>
      </x:c>
      <x:c r="C8" s="187" t="str">
        <x:v>Conservative</x:v>
      </x:c>
      <x:c r="D8" s="187" t="str">
        <x:v>Base</x:v>
      </x:c>
      <x:c r="E8" s="187" t="str">
        <x:v>Growth</x:v>
      </x:c>
      <x:c r="F8" s="188" t="str">
        <x:v>Unit / note</x:v>
      </x:c>
    </x:row>
    <x:row r="9">
      <x:c r="A9" s="229" t="str">
        <x:v>Monthly prescription requests per branch</x:v>
      </x:c>
      <x:c r="B9" s="230" t="n">
        <x:f>IF($B$4="Conservative",C9,IF($B$4="Base",D9,E9))</x:f>
        <x:v>1500</x:v>
      </x:c>
      <x:c r="C9" s="231" t="n">
        <x:v>600</x:v>
      </x:c>
      <x:c r="D9" s="231" t="n">
        <x:v>1500</x:v>
      </x:c>
      <x:c r="E9" s="231" t="n">
        <x:v>3000</x:v>
      </x:c>
      <x:c r="F9" s="229" t="str">
        <x:v>requests</x:v>
      </x:c>
    </x:row>
    <x:row r="10">
      <x:c r="A10" s="232" t="str">
        <x:v>Valid request to quote rate</x:v>
      </x:c>
      <x:c r="B10" s="233" t="n">
        <x:f>IF($B$4="Conservative",C10,IF($B$4="Base",D10,E10))</x:f>
        <x:v>0.9</x:v>
      </x:c>
      <x:c r="C10" s="234" t="n">
        <x:v>0.8</x:v>
      </x:c>
      <x:c r="D10" s="234" t="n">
        <x:v>0.9</x:v>
      </x:c>
      <x:c r="E10" s="234" t="n">
        <x:v>0.95</x:v>
      </x:c>
      <x:c r="F10" s="232" t="str">
        <x:v>% of requests</x:v>
      </x:c>
    </x:row>
    <x:row r="11">
      <x:c r="A11" s="232" t="str">
        <x:v>Quote to paid conversion</x:v>
      </x:c>
      <x:c r="B11" s="233" t="n">
        <x:f>IF($B$4="Conservative",C11,IF($B$4="Base",D11,E11))</x:f>
        <x:v>0.5</x:v>
      </x:c>
      <x:c r="C11" s="234" t="n">
        <x:v>0.35</x:v>
      </x:c>
      <x:c r="D11" s="234" t="n">
        <x:v>0.5</x:v>
      </x:c>
      <x:c r="E11" s="234" t="n">
        <x:v>0.6</x:v>
      </x:c>
      <x:c r="F11" s="232" t="str">
        <x:v>% of quotes</x:v>
      </x:c>
    </x:row>
    <x:row r="12">
      <x:c r="A12" s="232" t="str">
        <x:v>Delivery share of paid orders</x:v>
      </x:c>
      <x:c r="B12" s="233" t="n">
        <x:f>IF($B$4="Conservative",C12,IF($B$4="Base",D12,E12))</x:f>
        <x:v>0.35</x:v>
      </x:c>
      <x:c r="C12" s="234" t="n">
        <x:v>0.2</x:v>
      </x:c>
      <x:c r="D12" s="234" t="n">
        <x:v>0.35</x:v>
      </x:c>
      <x:c r="E12" s="234" t="n">
        <x:v>0.45</x:v>
      </x:c>
      <x:c r="F12" s="232" t="str">
        <x:v>% of paid orders</x:v>
      </x:c>
    </x:row>
    <x:row r="13">
      <x:c r="A13" s="232" t="str">
        <x:v>Average customer delivery fee</x:v>
      </x:c>
      <x:c r="B13" s="235" t="n">
        <x:f>IF($B$4="Conservative",C13,IF($B$4="Base",D13,E13))</x:f>
        <x:v>1500</x:v>
      </x:c>
      <x:c r="C13" s="236" t="n">
        <x:v>1200</x:v>
      </x:c>
      <x:c r="D13" s="236" t="n">
        <x:v>1500</x:v>
      </x:c>
      <x:c r="E13" s="236" t="n">
        <x:v>1800</x:v>
      </x:c>
      <x:c r="F13" s="232" t="str">
        <x:v>NGN</x:v>
      </x:c>
    </x:row>
    <x:row r="14">
      <x:c r="A14" s="232" t="str">
        <x:v>Implementation fee per new branch</x:v>
      </x:c>
      <x:c r="B14" s="235" t="n">
        <x:f>IF($B$4="Conservative",C14,IF($B$4="Base",D14,E14))</x:f>
        <x:v>350000</x:v>
      </x:c>
      <x:c r="C14" s="236" t="n">
        <x:v>250000</x:v>
      </x:c>
      <x:c r="D14" s="236" t="n">
        <x:v>350000</x:v>
      </x:c>
      <x:c r="E14" s="236" t="n">
        <x:v>500000</x:v>
      </x:c>
      <x:c r="F14" s="232" t="str">
        <x:v>NGN</x:v>
      </x:c>
    </x:row>
    <x:row r="15">
      <x:c r="A15" s="232" t="str">
        <x:v>Monthly platform subscription per branch</x:v>
      </x:c>
      <x:c r="B15" s="235" t="n">
        <x:f>IF($B$4="Conservative",C15,IF($B$4="Base",D15,E15))</x:f>
        <x:v>150000</x:v>
      </x:c>
      <x:c r="C15" s="236" t="n">
        <x:v>100000</x:v>
      </x:c>
      <x:c r="D15" s="236" t="n">
        <x:v>150000</x:v>
      </x:c>
      <x:c r="E15" s="236" t="n">
        <x:v>250000</x:v>
      </x:c>
      <x:c r="F15" s="232" t="str">
        <x:v>NGN</x:v>
      </x:c>
    </x:row>
    <x:row r="16">
      <x:c r="A16" s="232" t="str">
        <x:v>Completed prescription order fee</x:v>
      </x:c>
      <x:c r="B16" s="235" t="n">
        <x:f>IF($B$4="Conservative",C16,IF($B$4="Base",D16,E16))</x:f>
        <x:v>150</x:v>
      </x:c>
      <x:c r="C16" s="236" t="n">
        <x:v>100</x:v>
      </x:c>
      <x:c r="D16" s="236" t="n">
        <x:v>150</x:v>
      </x:c>
      <x:c r="E16" s="236" t="n">
        <x:v>200</x:v>
      </x:c>
      <x:c r="F16" s="232" t="str">
        <x:v>NGN/order</x:v>
      </x:c>
    </x:row>
    <x:row r="17">
      <x:c r="A17" s="232" t="str">
        <x:v>EwaTrade delivery coordination margin</x:v>
      </x:c>
      <x:c r="B17" s="233" t="n">
        <x:f>IF($B$4="Conservative",C17,IF($B$4="Base",D17,E17))</x:f>
        <x:v>0.15</x:v>
      </x:c>
      <x:c r="C17" s="234" t="n">
        <x:v>0.1</x:v>
      </x:c>
      <x:c r="D17" s="234" t="n">
        <x:v>0.15</x:v>
      </x:c>
      <x:c r="E17" s="234" t="n">
        <x:v>0.2</x:v>
      </x:c>
      <x:c r="F17" s="232" t="str">
        <x:v>% of delivery fee</x:v>
      </x:c>
    </x:row>
    <x:row r="18">
      <x:c r="A18" s="232" t="str">
        <x:v>OCR/vision cost per request</x:v>
      </x:c>
      <x:c r="B18" s="235" t="n">
        <x:f>IF($B$4="Conservative",C18,IF($B$4="Base",D18,E18))</x:f>
        <x:v>25</x:v>
      </x:c>
      <x:c r="C18" s="236" t="n">
        <x:v>30</x:v>
      </x:c>
      <x:c r="D18" s="236" t="n">
        <x:v>25</x:v>
      </x:c>
      <x:c r="E18" s="236" t="n">
        <x:v>20</x:v>
      </x:c>
      <x:c r="F18" s="232" t="str">
        <x:v>NGN/request</x:v>
      </x:c>
    </x:row>
    <x:row r="19">
      <x:c r="A19" s="232" t="str">
        <x:v>Messaging cost per request</x:v>
      </x:c>
      <x:c r="B19" s="235" t="n">
        <x:f>IF($B$4="Conservative",C19,IF($B$4="Base",D19,E19))</x:f>
        <x:v>18</x:v>
      </x:c>
      <x:c r="C19" s="236" t="n">
        <x:v>20</x:v>
      </x:c>
      <x:c r="D19" s="236" t="n">
        <x:v>18</x:v>
      </x:c>
      <x:c r="E19" s="236" t="n">
        <x:v>15</x:v>
      </x:c>
      <x:c r="F19" s="232" t="str">
        <x:v>NGN/request</x:v>
      </x:c>
    </x:row>
    <x:row r="20">
      <x:c r="A20" s="232" t="str">
        <x:v>Storage and security cost per request</x:v>
      </x:c>
      <x:c r="B20" s="235" t="n">
        <x:f>IF($B$4="Conservative",C20,IF($B$4="Base",D20,E20))</x:f>
        <x:v>12</x:v>
      </x:c>
      <x:c r="C20" s="236" t="n">
        <x:v>15</x:v>
      </x:c>
      <x:c r="D20" s="236" t="n">
        <x:v>12</x:v>
      </x:c>
      <x:c r="E20" s="236" t="n">
        <x:v>10</x:v>
      </x:c>
      <x:c r="F20" s="232" t="str">
        <x:v>NGN/request</x:v>
      </x:c>
    </x:row>
    <x:row r="21">
      <x:c r="A21" s="232" t="str">
        <x:v>Fixed support cost per branch per month</x:v>
      </x:c>
      <x:c r="B21" s="235" t="n">
        <x:f>IF($B$4="Conservative",C21,IF($B$4="Base",D21,E21))</x:f>
        <x:v>50000</x:v>
      </x:c>
      <x:c r="C21" s="236" t="n">
        <x:v>60000</x:v>
      </x:c>
      <x:c r="D21" s="236" t="n">
        <x:v>50000</x:v>
      </x:c>
      <x:c r="E21" s="236" t="n">
        <x:v>45000</x:v>
      </x:c>
      <x:c r="F21" s="232" t="str">
        <x:v>NGN/month</x:v>
      </x:c>
    </x:row>
    <x:row r="22">
      <x:c r="A22" s="232" t="str">
        <x:v>Maximum branches in 24-month plan</x:v>
      </x:c>
      <x:c r="B22" s="237" t="n">
        <x:f>IF($B$4="Conservative",C22,IF($B$4="Base",D22,E22))</x:f>
        <x:v>8</x:v>
      </x:c>
      <x:c r="C22" s="238" t="n">
        <x:v>3</x:v>
      </x:c>
      <x:c r="D22" s="238" t="n">
        <x:v>8</x:v>
      </x:c>
      <x:c r="E22" s="238" t="n">
        <x:v>15</x:v>
      </x:c>
      <x:c r="F22" s="232" t="str">
        <x:v>branches</x:v>
      </x:c>
    </x:row>
    <x:row r="23">
      <x:c r="A23" s="232" t="str">
        <x:v>Branch activation cadence</x:v>
      </x:c>
      <x:c r="B23" s="237" t="n">
        <x:f>IF($B$4="Conservative",C23,IF($B$4="Base",D23,E23))</x:f>
        <x:v>4</x:v>
      </x:c>
      <x:c r="C23" s="238" t="n">
        <x:v>8</x:v>
      </x:c>
      <x:c r="D23" s="238" t="n">
        <x:v>4</x:v>
      </x:c>
      <x:c r="E23" s="238" t="n">
        <x:v>2</x:v>
      </x:c>
      <x:c r="F23" s="232" t="str">
        <x:v>months/new branch</x:v>
      </x:c>
    </x:row>
    <x:row r="24">
      <x:c r="A24" s="232" t="str">
        <x:v>Average medicine basket</x:v>
      </x:c>
      <x:c r="B24" s="235" t="n">
        <x:f>IF($B$4="Conservative",C24,IF($B$4="Base",D24,E24))</x:f>
        <x:v>25000</x:v>
      </x:c>
      <x:c r="C24" s="236" t="n">
        <x:v>15000</x:v>
      </x:c>
      <x:c r="D24" s="236" t="n">
        <x:v>25000</x:v>
      </x:c>
      <x:c r="E24" s="236" t="n">
        <x:v>40000</x:v>
      </x:c>
      <x:c r="F24" s="232" t="str">
        <x:v>NGN/order</x:v>
      </x:c>
    </x:row>
    <x:row r="25">
      <x:c r="A25" s="232" t="str">
        <x:v>Pharmacy gross margin on medicine basket</x:v>
      </x:c>
      <x:c r="B25" s="233" t="n">
        <x:f>IF($B$4="Conservative",C25,IF($B$4="Base",D25,E25))</x:f>
        <x:v>0.2</x:v>
      </x:c>
      <x:c r="C25" s="234" t="n">
        <x:v>0.15</x:v>
      </x:c>
      <x:c r="D25" s="234" t="n">
        <x:v>0.2</x:v>
      </x:c>
      <x:c r="E25" s="234" t="n">
        <x:v>0.25</x:v>
      </x:c>
      <x:c r="F25" s="232" t="str">
        <x:v>% of basket</x:v>
      </x:c>
    </x:row>
    <x:row r="26">
      <x:c r="A26" s="232" t="str">
        <x:v>Share of paid orders considered recovered</x:v>
      </x:c>
      <x:c r="B26" s="233" t="n">
        <x:f>IF($B$4="Conservative",C26,IF($B$4="Base",D26,E26))</x:f>
        <x:v>0.15</x:v>
      </x:c>
      <x:c r="C26" s="234" t="n">
        <x:v>0.1</x:v>
      </x:c>
      <x:c r="D26" s="234" t="n">
        <x:v>0.15</x:v>
      </x:c>
      <x:c r="E26" s="234" t="n">
        <x:v>0.2</x:v>
      </x:c>
      <x:c r="F26" s="232" t="str">
        <x:v>% of paid orders</x:v>
      </x:c>
    </x:row>
    <x:row r="27">
      <x:c r="A27" s="232" t="str">
        <x:v>Monthly EwaTrade product overhead</x:v>
      </x:c>
      <x:c r="B27" s="235" t="n">
        <x:f>IF($B$4="Conservative",C27,IF($B$4="Base",D27,E27))</x:f>
        <x:v>500000</x:v>
      </x:c>
      <x:c r="C27" s="236" t="n">
        <x:v>300000</x:v>
      </x:c>
      <x:c r="D27" s="236" t="n">
        <x:v>500000</x:v>
      </x:c>
      <x:c r="E27" s="236" t="n">
        <x:v>800000</x:v>
      </x:c>
      <x:c r="F27" s="232" t="str">
        <x:v>NGN/company</x:v>
      </x:c>
    </x:row>
  </x:sheetData>
  <x:mergeCells>
    <x:mergeCell ref="A1:F1"/>
    <x:mergeCell ref="A2:F2"/>
    <x:mergeCell ref="D4:F4"/>
  </x:mergeCells>
  <x:dataValidations count="1">
    <x:dataValidation type="list" sqref="B4">
      <x:formula1>"Conservative,Base,Growth"</x:formula1>
    </x:dataValidation>
  </x:dataValidations>
  <x:pageMargins left="0.7" right="0.7" top="0.75" bottom="0.75" header="0.3" footer="0.3"/>
  <x:legacyDrawing xmlns:r="http://schemas.openxmlformats.org/officeDocument/2006/relationships" r:id="Re81a968a7c3a4b3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55" hidden="0" customWidth="1"/>
  </x:cols>
  <x:sheetData>
    <x:row r="1" ht="34" customHeight="1">
      <x:c r="A1" s="167" t="str">
        <x:v>Unit Economics</x:v>
      </x:c>
      <x:c r="B1" s="167"/>
      <x:c r="C1" s="167"/>
      <x:c r="D1" s="167"/>
    </x:row>
    <x:row r="2" ht="30" customHeight="1">
      <x:c r="A2" s="168" t="str">
        <x:v>Active-scenario monthly economics for one pharmacy branch. Delivery fee revenue is shown only as EwaTrade coordination margin.</x:v>
      </x:c>
      <x:c r="B2" s="168"/>
      <x:c r="C2" s="168"/>
      <x:c r="D2" s="168"/>
    </x:row>
    <x:row r="3">
      <x:c r="A3" s="200"/>
      <x:c r="B3" s="200"/>
      <x:c r="C3" s="200"/>
      <x:c r="D3" s="200"/>
    </x:row>
    <x:row r="4">
      <x:c r="A4" s="186" t="str">
        <x:v>Metric</x:v>
      </x:c>
      <x:c r="B4" s="187" t="str">
        <x:v>Value</x:v>
      </x:c>
      <x:c r="C4" s="187" t="str">
        <x:v>Unit</x:v>
      </x:c>
      <x:c r="D4" s="188" t="str">
        <x:v>Interpretation</x:v>
      </x:c>
    </x:row>
    <x:row r="5" ht="22" customHeight="1">
      <x:c r="A5" s="239" t="str">
        <x:v>VOLUME</x:v>
      </x:c>
      <x:c r="B5" s="239"/>
      <x:c r="C5" s="239"/>
      <x:c r="D5" s="239"/>
    </x:row>
    <x:row r="6">
      <x:c r="A6" s="229" t="str">
        <x:v>Prescription requests</x:v>
      </x:c>
      <x:c r="B6" s="251" t="n">
        <x:f>'Assumptions'!B9</x:f>
        <x:v>1500</x:v>
      </x:c>
      <x:c r="C6" s="229" t="str">
        <x:v>requests/month</x:v>
      </x:c>
      <x:c r="D6" s="229" t="str">
        <x:v>All valid and invalid intake attempts</x:v>
      </x:c>
    </x:row>
    <x:row r="7">
      <x:c r="A7" s="232" t="str">
        <x:v>Quotes issued</x:v>
      </x:c>
      <x:c r="B7" s="252" t="n">
        <x:f>B6*'Assumptions'!B10</x:f>
        <x:v>1350</x:v>
      </x:c>
      <x:c r="C7" s="232" t="str">
        <x:v>quotes/month</x:v>
      </x:c>
      <x:c r="D7" s="232" t="str">
        <x:v>Requests that reach a pharmacist-approved quote</x:v>
      </x:c>
    </x:row>
    <x:row r="8">
      <x:c r="A8" s="232" t="str">
        <x:v>Paid orders</x:v>
      </x:c>
      <x:c r="B8" s="252" t="n">
        <x:f>B7*'Assumptions'!B11</x:f>
        <x:v>675</x:v>
      </x:c>
      <x:c r="C8" s="232" t="str">
        <x:v>orders/month</x:v>
      </x:c>
      <x:c r="D8" s="232" t="str">
        <x:v>Quoted requests converted to payment</x:v>
      </x:c>
    </x:row>
    <x:row r="9">
      <x:c r="A9" s="232" t="str">
        <x:v>Delivery orders</x:v>
      </x:c>
      <x:c r="B9" s="252" t="n">
        <x:f>B8*'Assumptions'!B12</x:f>
        <x:v>236.24999999999997</x:v>
      </x:c>
      <x:c r="C9" s="232" t="str">
        <x:v>orders/month</x:v>
      </x:c>
      <x:c r="D9" s="232" t="str">
        <x:v>Paid orders selecting delivery</x:v>
      </x:c>
    </x:row>
    <x:row r="10">
      <x:c r="A10" s="253"/>
      <x:c r="B10" s="254"/>
      <x:c r="C10" s="253"/>
      <x:c r="D10" s="253"/>
    </x:row>
    <x:row r="11" ht="22" customHeight="1">
      <x:c r="A11" s="239" t="str">
        <x:v>EWATRADE REVENUE</x:v>
      </x:c>
      <x:c r="B11" s="244"/>
      <x:c r="C11" s="239"/>
      <x:c r="D11" s="239"/>
    </x:row>
    <x:row r="12">
      <x:c r="A12" s="229" t="str">
        <x:v>Platform subscription</x:v>
      </x:c>
      <x:c r="B12" s="255" t="n">
        <x:f>'Assumptions'!B15</x:f>
        <x:v>150000</x:v>
      </x:c>
      <x:c r="C12" s="229" t="str">
        <x:v>NGN/month</x:v>
      </x:c>
      <x:c r="D12" s="229" t="str">
        <x:v>Recurring branch fee</x:v>
      </x:c>
    </x:row>
    <x:row r="13">
      <x:c r="A13" s="232" t="str">
        <x:v>Completed-order fees</x:v>
      </x:c>
      <x:c r="B13" s="256" t="n">
        <x:f>B8*'Assumptions'!B16</x:f>
        <x:v>101250</x:v>
      </x:c>
      <x:c r="C13" s="232" t="str">
        <x:v>NGN/month</x:v>
      </x:c>
      <x:c r="D13" s="232" t="str">
        <x:v>Paid orders multiplied by fixed success fee</x:v>
      </x:c>
    </x:row>
    <x:row r="14">
      <x:c r="A14" s="232" t="str">
        <x:v>Delivery coordination margin</x:v>
      </x:c>
      <x:c r="B14" s="256" t="n">
        <x:f>B9*'Assumptions'!B13*'Assumptions'!B17</x:f>
        <x:v>53156.24999999999</x:v>
      </x:c>
      <x:c r="C14" s="232" t="str">
        <x:v>NGN/month</x:v>
      </x:c>
      <x:c r="D14" s="232" t="str">
        <x:v>Margin retained from customer-paid delivery fees</x:v>
      </x:c>
    </x:row>
    <x:row r="15">
      <x:c r="A15" s="232" t="str">
        <x:v>Implementation fee amortised</x:v>
      </x:c>
      <x:c r="B15" s="256" t="n">
        <x:f>'Assumptions'!B14/12</x:f>
        <x:v>29166.666666666668</x:v>
      </x:c>
      <x:c r="C15" s="232" t="str">
        <x:v>NGN/month</x:v>
      </x:c>
      <x:c r="D15" s="232" t="str">
        <x:v>Setup fee divided over twelve months for unit view</x:v>
      </x:c>
    </x:row>
    <x:row r="16">
      <x:c r="A16" s="257" t="str">
        <x:v>Total monthly revenue</x:v>
      </x:c>
      <x:c r="B16" s="258" t="n">
        <x:f>SUM(B12:B15)</x:f>
        <x:v>333572.9166666667</x:v>
      </x:c>
      <x:c r="C16" s="257" t="str">
        <x:v>NGN/month</x:v>
      </x:c>
      <x:c r="D16" s="257" t="str">
        <x:v>Recurring plus amortised implementation revenue</x:v>
      </x:c>
    </x:row>
    <x:row r="17">
      <x:c r="A17" s="253"/>
      <x:c r="B17" s="254"/>
      <x:c r="C17" s="253"/>
      <x:c r="D17" s="253"/>
    </x:row>
    <x:row r="18" ht="22" customHeight="1">
      <x:c r="A18" s="239" t="str">
        <x:v>DIRECT COST AND CONTRIBUTION</x:v>
      </x:c>
      <x:c r="B18" s="244"/>
      <x:c r="C18" s="239"/>
      <x:c r="D18" s="239"/>
    </x:row>
    <x:row r="19">
      <x:c r="A19" s="229" t="str">
        <x:v>Request-processing cost</x:v>
      </x:c>
      <x:c r="B19" s="255" t="n">
        <x:f>B6*SUM('Assumptions'!B18:B20)</x:f>
        <x:v>82500</x:v>
      </x:c>
      <x:c r="C19" s="229" t="str">
        <x:v>NGN/month</x:v>
      </x:c>
      <x:c r="D19" s="229" t="str">
        <x:v>OCR, messaging, storage, and security</x:v>
      </x:c>
    </x:row>
    <x:row r="20">
      <x:c r="A20" s="232" t="str">
        <x:v>Branch support cost</x:v>
      </x:c>
      <x:c r="B20" s="256" t="n">
        <x:f>'Assumptions'!B21</x:f>
        <x:v>50000</x:v>
      </x:c>
      <x:c r="C20" s="232" t="str">
        <x:v>NGN/month</x:v>
      </x:c>
      <x:c r="D20" s="232" t="str">
        <x:v>Operational support allocation</x:v>
      </x:c>
    </x:row>
    <x:row r="21">
      <x:c r="A21" s="232" t="str">
        <x:v>Total direct cost</x:v>
      </x:c>
      <x:c r="B21" s="256" t="n">
        <x:f>SUM(B19:B20)</x:f>
        <x:v>132500</x:v>
      </x:c>
      <x:c r="C21" s="232" t="str">
        <x:v>NGN/month</x:v>
      </x:c>
      <x:c r="D21" s="232" t="str">
        <x:v>Request-processing plus branch support</x:v>
      </x:c>
    </x:row>
    <x:row r="22">
      <x:c r="A22" s="257" t="str">
        <x:v>Monthly contribution</x:v>
      </x:c>
      <x:c r="B22" s="258" t="n">
        <x:f>B16-B21</x:f>
        <x:v>201072.9166666667</x:v>
      </x:c>
      <x:c r="C22" s="257" t="str">
        <x:v>NGN/month</x:v>
      </x:c>
      <x:c r="D22" s="257" t="str">
        <x:v>Revenue after direct cost</x:v>
      </x:c>
    </x:row>
    <x:row r="23">
      <x:c r="A23" s="257" t="str">
        <x:v>Contribution margin</x:v>
      </x:c>
      <x:c r="B23" s="259" t="n">
        <x:f>IFERROR(B22/B16,0)</x:f>
        <x:v>0.6027854979233676</x:v>
      </x:c>
      <x:c r="C23" s="257" t="str">
        <x:v>%</x:v>
      </x:c>
      <x:c r="D23" s="257" t="str">
        <x:v>Contribution divided by revenue</x:v>
      </x:c>
    </x:row>
    <x:row r="24">
      <x:c r="A24" s="232" t="str">
        <x:v>Revenue per request</x:v>
      </x:c>
      <x:c r="B24" s="256" t="n">
        <x:f>IFERROR(B16/B6,0)</x:f>
        <x:v>222.38194444444446</x:v>
      </x:c>
      <x:c r="C24" s="232" t="str">
        <x:v>NGN/request</x:v>
      </x:c>
      <x:c r="D24" s="232" t="str">
        <x:v>Total monthly revenue divided by request volume</x:v>
      </x:c>
    </x:row>
    <x:row r="25">
      <x:c r="A25" s="232" t="str">
        <x:v>Contribution per request</x:v>
      </x:c>
      <x:c r="B25" s="256" t="n">
        <x:f>IFERROR(B22/B6,0)</x:f>
        <x:v>134.04861111111111</x:v>
      </x:c>
      <x:c r="C25" s="232" t="str">
        <x:v>NGN/request</x:v>
      </x:c>
      <x:c r="D25" s="232" t="str">
        <x:v>Monthly contribution divided by request volume</x:v>
      </x:c>
    </x:row>
    <x:row r="26">
      <x:c r="A26" s="253"/>
      <x:c r="B26" s="254"/>
      <x:c r="C26" s="253"/>
      <x:c r="D26" s="253"/>
    </x:row>
    <x:row r="27" ht="22" customHeight="1">
      <x:c r="A27" s="239" t="str">
        <x:v>ILLUSTRATIVE PHARMACY VALUE</x:v>
      </x:c>
      <x:c r="B27" s="244"/>
      <x:c r="C27" s="239"/>
      <x:c r="D27" s="239"/>
    </x:row>
    <x:row r="28">
      <x:c r="A28" s="229" t="str">
        <x:v>Gross profit represented by paid orders</x:v>
      </x:c>
      <x:c r="B28" s="255" t="n">
        <x:f>B8*'Assumptions'!B24*'Assumptions'!B25</x:f>
        <x:v>3375000</x:v>
      </x:c>
      <x:c r="C28" s="229" t="str">
        <x:v>NGN/month</x:v>
      </x:c>
      <x:c r="D28" s="229" t="str">
        <x:v>Paid medicine value multiplied by pharmacy gross margin</x:v>
      </x:c>
    </x:row>
    <x:row r="29">
      <x:c r="A29" s="232" t="str">
        <x:v>Estimated recovered pharmacy gross profit</x:v>
      </x:c>
      <x:c r="B29" s="256" t="n">
        <x:f>B28*'Assumptions'!B26</x:f>
        <x:v>506250</x:v>
      </x:c>
      <x:c r="C29" s="232" t="str">
        <x:v>NGN/month</x:v>
      </x:c>
      <x:c r="D29" s="232" t="str">
        <x:v>Share of order gross profit assumed incremental or retained</x:v>
      </x:c>
    </x:row>
    <x:row r="30">
      <x:c r="A30" s="232" t="str">
        <x:v>Estimated monthly EwaTrade cost to pharmacy</x:v>
      </x:c>
      <x:c r="B30" s="256" t="n">
        <x:f>B12+B13+B15</x:f>
        <x:v>280416.6666666667</x:v>
      </x:c>
      <x:c r="C30" s="232" t="str">
        <x:v>NGN/month</x:v>
      </x:c>
      <x:c r="D30" s="232" t="str">
        <x:v>Subscription, order fees, and amortised implementation</x:v>
      </x:c>
    </x:row>
    <x:row r="31">
      <x:c r="A31" s="232" t="str">
        <x:v>Illustrative pharmacy value multiple</x:v>
      </x:c>
      <x:c r="B31" s="260" t="n">
        <x:f>IFERROR(B29/B30,0)</x:f>
        <x:v>1.8053491827637442</x:v>
      </x:c>
      <x:c r="C31" s="232" t="str">
        <x:v>x</x:v>
      </x:c>
      <x:c r="D31" s="232" t="str">
        <x:v>Recovered gross profit divided by pharmacy-paid EwaTrade fees</x:v>
      </x:c>
    </x:row>
  </x:sheetData>
  <x:mergeCells>
    <x:mergeCell ref="A1:D1"/>
    <x:mergeCell ref="A2:D2"/>
    <x:mergeCell ref="A5:D5"/>
    <x:mergeCell ref="A11:D11"/>
    <x:mergeCell ref="A18:D18"/>
    <x:mergeCell ref="A27:D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0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18" hidden="0" customWidth="1"/>
    <x:col min="16" max="16" width="19" hidden="0" customWidth="1"/>
    <x:col min="17" max="17" width="24" hidden="0" customWidth="1"/>
  </x:cols>
  <x:sheetData>
    <x:row r="1" ht="34" customHeight="1">
      <x:c r="A1" s="167" t="str">
        <x:v>24-Month Commercial Plan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 s="167"/>
      <x:c r="N1" s="167"/>
      <x:c r="O1" s="167"/>
      <x:c r="P1" s="167"/>
      <x:c r="Q1" s="167"/>
    </x:row>
    <x:row r="2" ht="30" customHeight="1">
      <x:c r="A2" s="168" t="str">
        <x:v>Formula-driven branch ramp and monthly contribution based on the selected scenario. Company product overhead is shown separately.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</x:row>
    <x:row r="3">
      <x:c r="A3" s="200"/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</x:row>
    <x:row r="4">
      <x:c r="A4" s="200"/>
      <x:c r="B4" s="200"/>
      <x:c r="C4" s="200"/>
      <x:c r="D4" s="200"/>
      <x:c r="E4" s="200"/>
      <x:c r="F4" s="200"/>
      <x:c r="G4" s="200"/>
      <x:c r="H4" s="200"/>
      <x:c r="I4" s="200"/>
      <x:c r="J4" s="200"/>
      <x:c r="K4" s="200"/>
      <x:c r="L4" s="200"/>
      <x:c r="M4" s="200"/>
      <x:c r="N4" s="200"/>
      <x:c r="O4" s="200"/>
      <x:c r="P4" s="200"/>
      <x:c r="Q4" s="200"/>
    </x:row>
    <x:row r="5">
      <x:c r="A5" s="186" t="str">
        <x:v>Month</x:v>
      </x:c>
      <x:c r="B5" s="187" t="str">
        <x:v>Month #</x:v>
      </x:c>
      <x:c r="C5" s="187" t="str">
        <x:v>Branches</x:v>
      </x:c>
      <x:c r="D5" s="187" t="str">
        <x:v>New branches</x:v>
      </x:c>
      <x:c r="E5" s="187" t="str">
        <x:v>Requests</x:v>
      </x:c>
      <x:c r="F5" s="187" t="str">
        <x:v>Quotes</x:v>
      </x:c>
      <x:c r="G5" s="187" t="str">
        <x:v>Paid orders</x:v>
      </x:c>
      <x:c r="H5" s="187" t="str">
        <x:v>Delivery orders</x:v>
      </x:c>
      <x:c r="I5" s="187" t="str">
        <x:v>Platform revenue</x:v>
      </x:c>
      <x:c r="J5" s="187" t="str">
        <x:v>Implementation revenue</x:v>
      </x:c>
      <x:c r="K5" s="187" t="str">
        <x:v>Order-fee revenue</x:v>
      </x:c>
      <x:c r="L5" s="187" t="str">
        <x:v>Delivery-margin revenue</x:v>
      </x:c>
      <x:c r="M5" s="187" t="str">
        <x:v>Total revenue</x:v>
      </x:c>
      <x:c r="N5" s="187" t="str">
        <x:v>Request-processing cost</x:v>
      </x:c>
      <x:c r="O5" s="187" t="str">
        <x:v>Branch support cost</x:v>
      </x:c>
      <x:c r="P5" s="187" t="str">
        <x:v>Branch contribution</x:v>
      </x:c>
      <x:c r="Q5" s="188" t="str">
        <x:v>Contribution after product overhead</x:v>
      </x:c>
    </x:row>
    <x:row r="6">
      <x:c r="A6" s="263" t="n">
        <x:v>46266</x:v>
      </x:c>
      <x:c r="B6" s="209" t="n">
        <x:v>1</x:v>
      </x:c>
      <x:c r="C6" s="210" t="n">
        <x:f>MIN('Assumptions'!$B$22,1+INT((B6-1)/'Assumptions'!$B$23))</x:f>
        <x:v>1</x:v>
      </x:c>
      <x:c r="D6" s="210" t="n">
        <x:f>C6</x:f>
        <x:v>1</x:v>
      </x:c>
      <x:c r="E6" s="210" t="n">
        <x:f>C6*'Assumptions'!$B$9</x:f>
        <x:v>1500</x:v>
      </x:c>
      <x:c r="F6" s="210" t="n">
        <x:f>E6*'Assumptions'!$B$10</x:f>
        <x:v>1350</x:v>
      </x:c>
      <x:c r="G6" s="210" t="n">
        <x:f>F6*'Assumptions'!$B$11</x:f>
        <x:v>675</x:v>
      </x:c>
      <x:c r="H6" s="210" t="n">
        <x:f>G6*'Assumptions'!$B$12</x:f>
        <x:v>236.24999999999997</x:v>
      </x:c>
      <x:c r="I6" s="204" t="n">
        <x:f>C6*'Assumptions'!$B$15</x:f>
        <x:v>150000</x:v>
      </x:c>
      <x:c r="J6" s="204" t="n">
        <x:f>D6*'Assumptions'!$B$14</x:f>
        <x:v>350000</x:v>
      </x:c>
      <x:c r="K6" s="204" t="n">
        <x:f>G6*'Assumptions'!$B$16</x:f>
        <x:v>101250</x:v>
      </x:c>
      <x:c r="L6" s="204" t="n">
        <x:f>H6*'Assumptions'!$B$13*'Assumptions'!$B$17</x:f>
        <x:v>53156.24999999999</x:v>
      </x:c>
      <x:c r="M6" s="204" t="n">
        <x:f>SUM(I6:L6)</x:f>
        <x:v>654406.25</x:v>
      </x:c>
      <x:c r="N6" s="204" t="n">
        <x:f>E6*SUM('Assumptions'!$B$18:$B$20)</x:f>
        <x:v>82500</x:v>
      </x:c>
      <x:c r="O6" s="204" t="n">
        <x:f>C6*'Assumptions'!$B$21</x:f>
        <x:v>50000</x:v>
      </x:c>
      <x:c r="P6" s="204" t="n">
        <x:f>M6-N6-O6</x:f>
        <x:v>521906.25</x:v>
      </x:c>
      <x:c r="Q6" s="204" t="n">
        <x:f>P6-'Assumptions'!$B$27</x:f>
        <x:v>21906.25</x:v>
      </x:c>
    </x:row>
    <x:row r="7">
      <x:c r="A7" s="264" t="n">
        <x:v>46296</x:v>
      </x:c>
      <x:c r="B7" s="211" t="n">
        <x:v>2</x:v>
      </x:c>
      <x:c r="C7" s="212" t="n">
        <x:f>MIN('Assumptions'!$B$22,1+INT((B7-1)/'Assumptions'!$B$23))</x:f>
        <x:v>1</x:v>
      </x:c>
      <x:c r="D7" s="212" t="n">
        <x:f>MAX(0,C7-C6)</x:f>
        <x:v>0</x:v>
      </x:c>
      <x:c r="E7" s="212" t="n">
        <x:f>C7*'Assumptions'!$B$9</x:f>
        <x:v>1500</x:v>
      </x:c>
      <x:c r="F7" s="212" t="n">
        <x:f>E7*'Assumptions'!$B$10</x:f>
        <x:v>1350</x:v>
      </x:c>
      <x:c r="G7" s="212" t="n">
        <x:f>F7*'Assumptions'!$B$11</x:f>
        <x:v>675</x:v>
      </x:c>
      <x:c r="H7" s="212" t="n">
        <x:f>G7*'Assumptions'!$B$12</x:f>
        <x:v>236.24999999999997</x:v>
      </x:c>
      <x:c r="I7" s="207" t="n">
        <x:f>C7*'Assumptions'!$B$15</x:f>
        <x:v>150000</x:v>
      </x:c>
      <x:c r="J7" s="207" t="n">
        <x:f>D7*'Assumptions'!$B$14</x:f>
        <x:v>0</x:v>
      </x:c>
      <x:c r="K7" s="207" t="n">
        <x:f>G7*'Assumptions'!$B$16</x:f>
        <x:v>101250</x:v>
      </x:c>
      <x:c r="L7" s="207" t="n">
        <x:f>H7*'Assumptions'!$B$13*'Assumptions'!$B$17</x:f>
        <x:v>53156.24999999999</x:v>
      </x:c>
      <x:c r="M7" s="207" t="n">
        <x:f>SUM(I7:L7)</x:f>
        <x:v>304406.25</x:v>
      </x:c>
      <x:c r="N7" s="207" t="n">
        <x:f>E7*SUM('Assumptions'!$B$18:$B$20)</x:f>
        <x:v>82500</x:v>
      </x:c>
      <x:c r="O7" s="207" t="n">
        <x:f>C7*'Assumptions'!$B$21</x:f>
        <x:v>50000</x:v>
      </x:c>
      <x:c r="P7" s="207" t="n">
        <x:f>M7-N7-O7</x:f>
        <x:v>171906.25</x:v>
      </x:c>
      <x:c r="Q7" s="207" t="n">
        <x:f>P7-'Assumptions'!$B$27</x:f>
        <x:v>-328093.75</x:v>
      </x:c>
    </x:row>
    <x:row r="8">
      <x:c r="A8" s="264" t="n">
        <x:v>46327</x:v>
      </x:c>
      <x:c r="B8" s="211" t="n">
        <x:v>3</x:v>
      </x:c>
      <x:c r="C8" s="212" t="n">
        <x:f>MIN('Assumptions'!$B$22,1+INT((B8-1)/'Assumptions'!$B$23))</x:f>
        <x:v>1</x:v>
      </x:c>
      <x:c r="D8" s="212" t="n">
        <x:f>MAX(0,C8-C7)</x:f>
        <x:v>0</x:v>
      </x:c>
      <x:c r="E8" s="212" t="n">
        <x:f>C8*'Assumptions'!$B$9</x:f>
        <x:v>1500</x:v>
      </x:c>
      <x:c r="F8" s="212" t="n">
        <x:f>E8*'Assumptions'!$B$10</x:f>
        <x:v>1350</x:v>
      </x:c>
      <x:c r="G8" s="212" t="n">
        <x:f>F8*'Assumptions'!$B$11</x:f>
        <x:v>675</x:v>
      </x:c>
      <x:c r="H8" s="212" t="n">
        <x:f>G8*'Assumptions'!$B$12</x:f>
        <x:v>236.24999999999997</x:v>
      </x:c>
      <x:c r="I8" s="207" t="n">
        <x:f>C8*'Assumptions'!$B$15</x:f>
        <x:v>150000</x:v>
      </x:c>
      <x:c r="J8" s="207" t="n">
        <x:f>D8*'Assumptions'!$B$14</x:f>
        <x:v>0</x:v>
      </x:c>
      <x:c r="K8" s="207" t="n">
        <x:f>G8*'Assumptions'!$B$16</x:f>
        <x:v>101250</x:v>
      </x:c>
      <x:c r="L8" s="207" t="n">
        <x:f>H8*'Assumptions'!$B$13*'Assumptions'!$B$17</x:f>
        <x:v>53156.24999999999</x:v>
      </x:c>
      <x:c r="M8" s="207" t="n">
        <x:f>SUM(I8:L8)</x:f>
        <x:v>304406.25</x:v>
      </x:c>
      <x:c r="N8" s="207" t="n">
        <x:f>E8*SUM('Assumptions'!$B$18:$B$20)</x:f>
        <x:v>82500</x:v>
      </x:c>
      <x:c r="O8" s="207" t="n">
        <x:f>C8*'Assumptions'!$B$21</x:f>
        <x:v>50000</x:v>
      </x:c>
      <x:c r="P8" s="207" t="n">
        <x:f>M8-N8-O8</x:f>
        <x:v>171906.25</x:v>
      </x:c>
      <x:c r="Q8" s="207" t="n">
        <x:f>P8-'Assumptions'!$B$27</x:f>
        <x:v>-328093.75</x:v>
      </x:c>
    </x:row>
    <x:row r="9">
      <x:c r="A9" s="264" t="n">
        <x:v>46357</x:v>
      </x:c>
      <x:c r="B9" s="211" t="n">
        <x:v>4</x:v>
      </x:c>
      <x:c r="C9" s="212" t="n">
        <x:f>MIN('Assumptions'!$B$22,1+INT((B9-1)/'Assumptions'!$B$23))</x:f>
        <x:v>1</x:v>
      </x:c>
      <x:c r="D9" s="212" t="n">
        <x:f>MAX(0,C9-C8)</x:f>
        <x:v>0</x:v>
      </x:c>
      <x:c r="E9" s="212" t="n">
        <x:f>C9*'Assumptions'!$B$9</x:f>
        <x:v>1500</x:v>
      </x:c>
      <x:c r="F9" s="212" t="n">
        <x:f>E9*'Assumptions'!$B$10</x:f>
        <x:v>1350</x:v>
      </x:c>
      <x:c r="G9" s="212" t="n">
        <x:f>F9*'Assumptions'!$B$11</x:f>
        <x:v>675</x:v>
      </x:c>
      <x:c r="H9" s="212" t="n">
        <x:f>G9*'Assumptions'!$B$12</x:f>
        <x:v>236.24999999999997</x:v>
      </x:c>
      <x:c r="I9" s="207" t="n">
        <x:f>C9*'Assumptions'!$B$15</x:f>
        <x:v>150000</x:v>
      </x:c>
      <x:c r="J9" s="207" t="n">
        <x:f>D9*'Assumptions'!$B$14</x:f>
        <x:v>0</x:v>
      </x:c>
      <x:c r="K9" s="207" t="n">
        <x:f>G9*'Assumptions'!$B$16</x:f>
        <x:v>101250</x:v>
      </x:c>
      <x:c r="L9" s="207" t="n">
        <x:f>H9*'Assumptions'!$B$13*'Assumptions'!$B$17</x:f>
        <x:v>53156.24999999999</x:v>
      </x:c>
      <x:c r="M9" s="207" t="n">
        <x:f>SUM(I9:L9)</x:f>
        <x:v>304406.25</x:v>
      </x:c>
      <x:c r="N9" s="207" t="n">
        <x:f>E9*SUM('Assumptions'!$B$18:$B$20)</x:f>
        <x:v>82500</x:v>
      </x:c>
      <x:c r="O9" s="207" t="n">
        <x:f>C9*'Assumptions'!$B$21</x:f>
        <x:v>50000</x:v>
      </x:c>
      <x:c r="P9" s="207" t="n">
        <x:f>M9-N9-O9</x:f>
        <x:v>171906.25</x:v>
      </x:c>
      <x:c r="Q9" s="207" t="n">
        <x:f>P9-'Assumptions'!$B$27</x:f>
        <x:v>-328093.75</x:v>
      </x:c>
    </x:row>
    <x:row r="10">
      <x:c r="A10" s="264" t="n">
        <x:v>46388</x:v>
      </x:c>
      <x:c r="B10" s="211" t="n">
        <x:v>5</x:v>
      </x:c>
      <x:c r="C10" s="212" t="n">
        <x:f>MIN('Assumptions'!$B$22,1+INT((B10-1)/'Assumptions'!$B$23))</x:f>
        <x:v>2</x:v>
      </x:c>
      <x:c r="D10" s="212" t="n">
        <x:f>MAX(0,C10-C9)</x:f>
        <x:v>1</x:v>
      </x:c>
      <x:c r="E10" s="212" t="n">
        <x:f>C10*'Assumptions'!$B$9</x:f>
        <x:v>3000</x:v>
      </x:c>
      <x:c r="F10" s="212" t="n">
        <x:f>E10*'Assumptions'!$B$10</x:f>
        <x:v>2700</x:v>
      </x:c>
      <x:c r="G10" s="212" t="n">
        <x:f>F10*'Assumptions'!$B$11</x:f>
        <x:v>1350</x:v>
      </x:c>
      <x:c r="H10" s="212" t="n">
        <x:f>G10*'Assumptions'!$B$12</x:f>
        <x:v>472.49999999999994</x:v>
      </x:c>
      <x:c r="I10" s="207" t="n">
        <x:f>C10*'Assumptions'!$B$15</x:f>
        <x:v>300000</x:v>
      </x:c>
      <x:c r="J10" s="207" t="n">
        <x:f>D10*'Assumptions'!$B$14</x:f>
        <x:v>350000</x:v>
      </x:c>
      <x:c r="K10" s="207" t="n">
        <x:f>G10*'Assumptions'!$B$16</x:f>
        <x:v>202500</x:v>
      </x:c>
      <x:c r="L10" s="207" t="n">
        <x:f>H10*'Assumptions'!$B$13*'Assumptions'!$B$17</x:f>
        <x:v>106312.49999999999</x:v>
      </x:c>
      <x:c r="M10" s="207" t="n">
        <x:f>SUM(I10:L10)</x:f>
        <x:v>958812.5</x:v>
      </x:c>
      <x:c r="N10" s="207" t="n">
        <x:f>E10*SUM('Assumptions'!$B$18:$B$20)</x:f>
        <x:v>165000</x:v>
      </x:c>
      <x:c r="O10" s="207" t="n">
        <x:f>C10*'Assumptions'!$B$21</x:f>
        <x:v>100000</x:v>
      </x:c>
      <x:c r="P10" s="207" t="n">
        <x:f>M10-N10-O10</x:f>
        <x:v>693812.5</x:v>
      </x:c>
      <x:c r="Q10" s="207" t="n">
        <x:f>P10-'Assumptions'!$B$27</x:f>
        <x:v>193812.5</x:v>
      </x:c>
    </x:row>
    <x:row r="11">
      <x:c r="A11" s="264" t="n">
        <x:v>46419</x:v>
      </x:c>
      <x:c r="B11" s="211" t="n">
        <x:v>6</x:v>
      </x:c>
      <x:c r="C11" s="212" t="n">
        <x:f>MIN('Assumptions'!$B$22,1+INT((B11-1)/'Assumptions'!$B$23))</x:f>
        <x:v>2</x:v>
      </x:c>
      <x:c r="D11" s="212" t="n">
        <x:f>MAX(0,C11-C10)</x:f>
        <x:v>0</x:v>
      </x:c>
      <x:c r="E11" s="212" t="n">
        <x:f>C11*'Assumptions'!$B$9</x:f>
        <x:v>3000</x:v>
      </x:c>
      <x:c r="F11" s="212" t="n">
        <x:f>E11*'Assumptions'!$B$10</x:f>
        <x:v>2700</x:v>
      </x:c>
      <x:c r="G11" s="212" t="n">
        <x:f>F11*'Assumptions'!$B$11</x:f>
        <x:v>1350</x:v>
      </x:c>
      <x:c r="H11" s="212" t="n">
        <x:f>G11*'Assumptions'!$B$12</x:f>
        <x:v>472.49999999999994</x:v>
      </x:c>
      <x:c r="I11" s="207" t="n">
        <x:f>C11*'Assumptions'!$B$15</x:f>
        <x:v>300000</x:v>
      </x:c>
      <x:c r="J11" s="207" t="n">
        <x:f>D11*'Assumptions'!$B$14</x:f>
        <x:v>0</x:v>
      </x:c>
      <x:c r="K11" s="207" t="n">
        <x:f>G11*'Assumptions'!$B$16</x:f>
        <x:v>202500</x:v>
      </x:c>
      <x:c r="L11" s="207" t="n">
        <x:f>H11*'Assumptions'!$B$13*'Assumptions'!$B$17</x:f>
        <x:v>106312.49999999999</x:v>
      </x:c>
      <x:c r="M11" s="207" t="n">
        <x:f>SUM(I11:L11)</x:f>
        <x:v>608812.5</x:v>
      </x:c>
      <x:c r="N11" s="207" t="n">
        <x:f>E11*SUM('Assumptions'!$B$18:$B$20)</x:f>
        <x:v>165000</x:v>
      </x:c>
      <x:c r="O11" s="207" t="n">
        <x:f>C11*'Assumptions'!$B$21</x:f>
        <x:v>100000</x:v>
      </x:c>
      <x:c r="P11" s="207" t="n">
        <x:f>M11-N11-O11</x:f>
        <x:v>343812.5</x:v>
      </x:c>
      <x:c r="Q11" s="207" t="n">
        <x:f>P11-'Assumptions'!$B$27</x:f>
        <x:v>-156187.5</x:v>
      </x:c>
    </x:row>
    <x:row r="12">
      <x:c r="A12" s="264" t="n">
        <x:v>46447</x:v>
      </x:c>
      <x:c r="B12" s="211" t="n">
        <x:v>7</x:v>
      </x:c>
      <x:c r="C12" s="212" t="n">
        <x:f>MIN('Assumptions'!$B$22,1+INT((B12-1)/'Assumptions'!$B$23))</x:f>
        <x:v>2</x:v>
      </x:c>
      <x:c r="D12" s="212" t="n">
        <x:f>MAX(0,C12-C11)</x:f>
        <x:v>0</x:v>
      </x:c>
      <x:c r="E12" s="212" t="n">
        <x:f>C12*'Assumptions'!$B$9</x:f>
        <x:v>3000</x:v>
      </x:c>
      <x:c r="F12" s="212" t="n">
        <x:f>E12*'Assumptions'!$B$10</x:f>
        <x:v>2700</x:v>
      </x:c>
      <x:c r="G12" s="212" t="n">
        <x:f>F12*'Assumptions'!$B$11</x:f>
        <x:v>1350</x:v>
      </x:c>
      <x:c r="H12" s="212" t="n">
        <x:f>G12*'Assumptions'!$B$12</x:f>
        <x:v>472.49999999999994</x:v>
      </x:c>
      <x:c r="I12" s="207" t="n">
        <x:f>C12*'Assumptions'!$B$15</x:f>
        <x:v>300000</x:v>
      </x:c>
      <x:c r="J12" s="207" t="n">
        <x:f>D12*'Assumptions'!$B$14</x:f>
        <x:v>0</x:v>
      </x:c>
      <x:c r="K12" s="207" t="n">
        <x:f>G12*'Assumptions'!$B$16</x:f>
        <x:v>202500</x:v>
      </x:c>
      <x:c r="L12" s="207" t="n">
        <x:f>H12*'Assumptions'!$B$13*'Assumptions'!$B$17</x:f>
        <x:v>106312.49999999999</x:v>
      </x:c>
      <x:c r="M12" s="207" t="n">
        <x:f>SUM(I12:L12)</x:f>
        <x:v>608812.5</x:v>
      </x:c>
      <x:c r="N12" s="207" t="n">
        <x:f>E12*SUM('Assumptions'!$B$18:$B$20)</x:f>
        <x:v>165000</x:v>
      </x:c>
      <x:c r="O12" s="207" t="n">
        <x:f>C12*'Assumptions'!$B$21</x:f>
        <x:v>100000</x:v>
      </x:c>
      <x:c r="P12" s="207" t="n">
        <x:f>M12-N12-O12</x:f>
        <x:v>343812.5</x:v>
      </x:c>
      <x:c r="Q12" s="207" t="n">
        <x:f>P12-'Assumptions'!$B$27</x:f>
        <x:v>-156187.5</x:v>
      </x:c>
    </x:row>
    <x:row r="13">
      <x:c r="A13" s="264" t="n">
        <x:v>46478</x:v>
      </x:c>
      <x:c r="B13" s="211" t="n">
        <x:v>8</x:v>
      </x:c>
      <x:c r="C13" s="212" t="n">
        <x:f>MIN('Assumptions'!$B$22,1+INT((B13-1)/'Assumptions'!$B$23))</x:f>
        <x:v>2</x:v>
      </x:c>
      <x:c r="D13" s="212" t="n">
        <x:f>MAX(0,C13-C12)</x:f>
        <x:v>0</x:v>
      </x:c>
      <x:c r="E13" s="212" t="n">
        <x:f>C13*'Assumptions'!$B$9</x:f>
        <x:v>3000</x:v>
      </x:c>
      <x:c r="F13" s="212" t="n">
        <x:f>E13*'Assumptions'!$B$10</x:f>
        <x:v>2700</x:v>
      </x:c>
      <x:c r="G13" s="212" t="n">
        <x:f>F13*'Assumptions'!$B$11</x:f>
        <x:v>1350</x:v>
      </x:c>
      <x:c r="H13" s="212" t="n">
        <x:f>G13*'Assumptions'!$B$12</x:f>
        <x:v>472.49999999999994</x:v>
      </x:c>
      <x:c r="I13" s="207" t="n">
        <x:f>C13*'Assumptions'!$B$15</x:f>
        <x:v>300000</x:v>
      </x:c>
      <x:c r="J13" s="207" t="n">
        <x:f>D13*'Assumptions'!$B$14</x:f>
        <x:v>0</x:v>
      </x:c>
      <x:c r="K13" s="207" t="n">
        <x:f>G13*'Assumptions'!$B$16</x:f>
        <x:v>202500</x:v>
      </x:c>
      <x:c r="L13" s="207" t="n">
        <x:f>H13*'Assumptions'!$B$13*'Assumptions'!$B$17</x:f>
        <x:v>106312.49999999999</x:v>
      </x:c>
      <x:c r="M13" s="207" t="n">
        <x:f>SUM(I13:L13)</x:f>
        <x:v>608812.5</x:v>
      </x:c>
      <x:c r="N13" s="207" t="n">
        <x:f>E13*SUM('Assumptions'!$B$18:$B$20)</x:f>
        <x:v>165000</x:v>
      </x:c>
      <x:c r="O13" s="207" t="n">
        <x:f>C13*'Assumptions'!$B$21</x:f>
        <x:v>100000</x:v>
      </x:c>
      <x:c r="P13" s="207" t="n">
        <x:f>M13-N13-O13</x:f>
        <x:v>343812.5</x:v>
      </x:c>
      <x:c r="Q13" s="207" t="n">
        <x:f>P13-'Assumptions'!$B$27</x:f>
        <x:v>-156187.5</x:v>
      </x:c>
    </x:row>
    <x:row r="14">
      <x:c r="A14" s="264" t="n">
        <x:v>46508</x:v>
      </x:c>
      <x:c r="B14" s="211" t="n">
        <x:v>9</x:v>
      </x:c>
      <x:c r="C14" s="212" t="n">
        <x:f>MIN('Assumptions'!$B$22,1+INT((B14-1)/'Assumptions'!$B$23))</x:f>
        <x:v>3</x:v>
      </x:c>
      <x:c r="D14" s="212" t="n">
        <x:f>MAX(0,C14-C13)</x:f>
        <x:v>1</x:v>
      </x:c>
      <x:c r="E14" s="212" t="n">
        <x:f>C14*'Assumptions'!$B$9</x:f>
        <x:v>4500</x:v>
      </x:c>
      <x:c r="F14" s="212" t="n">
        <x:f>E14*'Assumptions'!$B$10</x:f>
        <x:v>4050</x:v>
      </x:c>
      <x:c r="G14" s="212" t="n">
        <x:f>F14*'Assumptions'!$B$11</x:f>
        <x:v>2025</x:v>
      </x:c>
      <x:c r="H14" s="212" t="n">
        <x:f>G14*'Assumptions'!$B$12</x:f>
        <x:v>708.75</x:v>
      </x:c>
      <x:c r="I14" s="207" t="n">
        <x:f>C14*'Assumptions'!$B$15</x:f>
        <x:v>450000</x:v>
      </x:c>
      <x:c r="J14" s="207" t="n">
        <x:f>D14*'Assumptions'!$B$14</x:f>
        <x:v>350000</x:v>
      </x:c>
      <x:c r="K14" s="207" t="n">
        <x:f>G14*'Assumptions'!$B$16</x:f>
        <x:v>303750</x:v>
      </x:c>
      <x:c r="L14" s="207" t="n">
        <x:f>H14*'Assumptions'!$B$13*'Assumptions'!$B$17</x:f>
        <x:v>159468.75</x:v>
      </x:c>
      <x:c r="M14" s="207" t="n">
        <x:f>SUM(I14:L14)</x:f>
        <x:v>1263218.75</x:v>
      </x:c>
      <x:c r="N14" s="207" t="n">
        <x:f>E14*SUM('Assumptions'!$B$18:$B$20)</x:f>
        <x:v>247500</x:v>
      </x:c>
      <x:c r="O14" s="207" t="n">
        <x:f>C14*'Assumptions'!$B$21</x:f>
        <x:v>150000</x:v>
      </x:c>
      <x:c r="P14" s="207" t="n">
        <x:f>M14-N14-O14</x:f>
        <x:v>865718.75</x:v>
      </x:c>
      <x:c r="Q14" s="207" t="n">
        <x:f>P14-'Assumptions'!$B$27</x:f>
        <x:v>365718.75</x:v>
      </x:c>
    </x:row>
    <x:row r="15">
      <x:c r="A15" s="264" t="n">
        <x:v>46539</x:v>
      </x:c>
      <x:c r="B15" s="211" t="n">
        <x:v>10</x:v>
      </x:c>
      <x:c r="C15" s="212" t="n">
        <x:f>MIN('Assumptions'!$B$22,1+INT((B15-1)/'Assumptions'!$B$23))</x:f>
        <x:v>3</x:v>
      </x:c>
      <x:c r="D15" s="212" t="n">
        <x:f>MAX(0,C15-C14)</x:f>
        <x:v>0</x:v>
      </x:c>
      <x:c r="E15" s="212" t="n">
        <x:f>C15*'Assumptions'!$B$9</x:f>
        <x:v>4500</x:v>
      </x:c>
      <x:c r="F15" s="212" t="n">
        <x:f>E15*'Assumptions'!$B$10</x:f>
        <x:v>4050</x:v>
      </x:c>
      <x:c r="G15" s="212" t="n">
        <x:f>F15*'Assumptions'!$B$11</x:f>
        <x:v>2025</x:v>
      </x:c>
      <x:c r="H15" s="212" t="n">
        <x:f>G15*'Assumptions'!$B$12</x:f>
        <x:v>708.75</x:v>
      </x:c>
      <x:c r="I15" s="207" t="n">
        <x:f>C15*'Assumptions'!$B$15</x:f>
        <x:v>450000</x:v>
      </x:c>
      <x:c r="J15" s="207" t="n">
        <x:f>D15*'Assumptions'!$B$14</x:f>
        <x:v>0</x:v>
      </x:c>
      <x:c r="K15" s="207" t="n">
        <x:f>G15*'Assumptions'!$B$16</x:f>
        <x:v>303750</x:v>
      </x:c>
      <x:c r="L15" s="207" t="n">
        <x:f>H15*'Assumptions'!$B$13*'Assumptions'!$B$17</x:f>
        <x:v>159468.75</x:v>
      </x:c>
      <x:c r="M15" s="207" t="n">
        <x:f>SUM(I15:L15)</x:f>
        <x:v>913218.75</x:v>
      </x:c>
      <x:c r="N15" s="207" t="n">
        <x:f>E15*SUM('Assumptions'!$B$18:$B$20)</x:f>
        <x:v>247500</x:v>
      </x:c>
      <x:c r="O15" s="207" t="n">
        <x:f>C15*'Assumptions'!$B$21</x:f>
        <x:v>150000</x:v>
      </x:c>
      <x:c r="P15" s="207" t="n">
        <x:f>M15-N15-O15</x:f>
        <x:v>515718.75</x:v>
      </x:c>
      <x:c r="Q15" s="207" t="n">
        <x:f>P15-'Assumptions'!$B$27</x:f>
        <x:v>15718.75</x:v>
      </x:c>
    </x:row>
    <x:row r="16">
      <x:c r="A16" s="264" t="n">
        <x:v>46569</x:v>
      </x:c>
      <x:c r="B16" s="211" t="n">
        <x:v>11</x:v>
      </x:c>
      <x:c r="C16" s="212" t="n">
        <x:f>MIN('Assumptions'!$B$22,1+INT((B16-1)/'Assumptions'!$B$23))</x:f>
        <x:v>3</x:v>
      </x:c>
      <x:c r="D16" s="212" t="n">
        <x:f>MAX(0,C16-C15)</x:f>
        <x:v>0</x:v>
      </x:c>
      <x:c r="E16" s="212" t="n">
        <x:f>C16*'Assumptions'!$B$9</x:f>
        <x:v>4500</x:v>
      </x:c>
      <x:c r="F16" s="212" t="n">
        <x:f>E16*'Assumptions'!$B$10</x:f>
        <x:v>4050</x:v>
      </x:c>
      <x:c r="G16" s="212" t="n">
        <x:f>F16*'Assumptions'!$B$11</x:f>
        <x:v>2025</x:v>
      </x:c>
      <x:c r="H16" s="212" t="n">
        <x:f>G16*'Assumptions'!$B$12</x:f>
        <x:v>708.75</x:v>
      </x:c>
      <x:c r="I16" s="207" t="n">
        <x:f>C16*'Assumptions'!$B$15</x:f>
        <x:v>450000</x:v>
      </x:c>
      <x:c r="J16" s="207" t="n">
        <x:f>D16*'Assumptions'!$B$14</x:f>
        <x:v>0</x:v>
      </x:c>
      <x:c r="K16" s="207" t="n">
        <x:f>G16*'Assumptions'!$B$16</x:f>
        <x:v>303750</x:v>
      </x:c>
      <x:c r="L16" s="207" t="n">
        <x:f>H16*'Assumptions'!$B$13*'Assumptions'!$B$17</x:f>
        <x:v>159468.75</x:v>
      </x:c>
      <x:c r="M16" s="207" t="n">
        <x:f>SUM(I16:L16)</x:f>
        <x:v>913218.75</x:v>
      </x:c>
      <x:c r="N16" s="207" t="n">
        <x:f>E16*SUM('Assumptions'!$B$18:$B$20)</x:f>
        <x:v>247500</x:v>
      </x:c>
      <x:c r="O16" s="207" t="n">
        <x:f>C16*'Assumptions'!$B$21</x:f>
        <x:v>150000</x:v>
      </x:c>
      <x:c r="P16" s="207" t="n">
        <x:f>M16-N16-O16</x:f>
        <x:v>515718.75</x:v>
      </x:c>
      <x:c r="Q16" s="207" t="n">
        <x:f>P16-'Assumptions'!$B$27</x:f>
        <x:v>15718.75</x:v>
      </x:c>
    </x:row>
    <x:row r="17">
      <x:c r="A17" s="264" t="n">
        <x:v>46600</x:v>
      </x:c>
      <x:c r="B17" s="211" t="n">
        <x:v>12</x:v>
      </x:c>
      <x:c r="C17" s="212" t="n">
        <x:f>MIN('Assumptions'!$B$22,1+INT((B17-1)/'Assumptions'!$B$23))</x:f>
        <x:v>3</x:v>
      </x:c>
      <x:c r="D17" s="212" t="n">
        <x:f>MAX(0,C17-C16)</x:f>
        <x:v>0</x:v>
      </x:c>
      <x:c r="E17" s="212" t="n">
        <x:f>C17*'Assumptions'!$B$9</x:f>
        <x:v>4500</x:v>
      </x:c>
      <x:c r="F17" s="212" t="n">
        <x:f>E17*'Assumptions'!$B$10</x:f>
        <x:v>4050</x:v>
      </x:c>
      <x:c r="G17" s="212" t="n">
        <x:f>F17*'Assumptions'!$B$11</x:f>
        <x:v>2025</x:v>
      </x:c>
      <x:c r="H17" s="212" t="n">
        <x:f>G17*'Assumptions'!$B$12</x:f>
        <x:v>708.75</x:v>
      </x:c>
      <x:c r="I17" s="207" t="n">
        <x:f>C17*'Assumptions'!$B$15</x:f>
        <x:v>450000</x:v>
      </x:c>
      <x:c r="J17" s="207" t="n">
        <x:f>D17*'Assumptions'!$B$14</x:f>
        <x:v>0</x:v>
      </x:c>
      <x:c r="K17" s="207" t="n">
        <x:f>G17*'Assumptions'!$B$16</x:f>
        <x:v>303750</x:v>
      </x:c>
      <x:c r="L17" s="207" t="n">
        <x:f>H17*'Assumptions'!$B$13*'Assumptions'!$B$17</x:f>
        <x:v>159468.75</x:v>
      </x:c>
      <x:c r="M17" s="207" t="n">
        <x:f>SUM(I17:L17)</x:f>
        <x:v>913218.75</x:v>
      </x:c>
      <x:c r="N17" s="207" t="n">
        <x:f>E17*SUM('Assumptions'!$B$18:$B$20)</x:f>
        <x:v>247500</x:v>
      </x:c>
      <x:c r="O17" s="207" t="n">
        <x:f>C17*'Assumptions'!$B$21</x:f>
        <x:v>150000</x:v>
      </x:c>
      <x:c r="P17" s="207" t="n">
        <x:f>M17-N17-O17</x:f>
        <x:v>515718.75</x:v>
      </x:c>
      <x:c r="Q17" s="207" t="n">
        <x:f>P17-'Assumptions'!$B$27</x:f>
        <x:v>15718.75</x:v>
      </x:c>
    </x:row>
    <x:row r="18">
      <x:c r="A18" s="264" t="n">
        <x:v>46631</x:v>
      </x:c>
      <x:c r="B18" s="211" t="n">
        <x:v>13</x:v>
      </x:c>
      <x:c r="C18" s="212" t="n">
        <x:f>MIN('Assumptions'!$B$22,1+INT((B18-1)/'Assumptions'!$B$23))</x:f>
        <x:v>4</x:v>
      </x:c>
      <x:c r="D18" s="212" t="n">
        <x:f>MAX(0,C18-C17)</x:f>
        <x:v>1</x:v>
      </x:c>
      <x:c r="E18" s="212" t="n">
        <x:f>C18*'Assumptions'!$B$9</x:f>
        <x:v>6000</x:v>
      </x:c>
      <x:c r="F18" s="212" t="n">
        <x:f>E18*'Assumptions'!$B$10</x:f>
        <x:v>5400</x:v>
      </x:c>
      <x:c r="G18" s="212" t="n">
        <x:f>F18*'Assumptions'!$B$11</x:f>
        <x:v>2700</x:v>
      </x:c>
      <x:c r="H18" s="212" t="n">
        <x:f>G18*'Assumptions'!$B$12</x:f>
        <x:v>944.9999999999999</x:v>
      </x:c>
      <x:c r="I18" s="207" t="n">
        <x:f>C18*'Assumptions'!$B$15</x:f>
        <x:v>600000</x:v>
      </x:c>
      <x:c r="J18" s="207" t="n">
        <x:f>D18*'Assumptions'!$B$14</x:f>
        <x:v>350000</x:v>
      </x:c>
      <x:c r="K18" s="207" t="n">
        <x:f>G18*'Assumptions'!$B$16</x:f>
        <x:v>405000</x:v>
      </x:c>
      <x:c r="L18" s="207" t="n">
        <x:f>H18*'Assumptions'!$B$13*'Assumptions'!$B$17</x:f>
        <x:v>212624.99999999997</x:v>
      </x:c>
      <x:c r="M18" s="207" t="n">
        <x:f>SUM(I18:L18)</x:f>
        <x:v>1567625</x:v>
      </x:c>
      <x:c r="N18" s="207" t="n">
        <x:f>E18*SUM('Assumptions'!$B$18:$B$20)</x:f>
        <x:v>330000</x:v>
      </x:c>
      <x:c r="O18" s="207" t="n">
        <x:f>C18*'Assumptions'!$B$21</x:f>
        <x:v>200000</x:v>
      </x:c>
      <x:c r="P18" s="207" t="n">
        <x:f>M18-N18-O18</x:f>
        <x:v>1037625</x:v>
      </x:c>
      <x:c r="Q18" s="207" t="n">
        <x:f>P18-'Assumptions'!$B$27</x:f>
        <x:v>537625</x:v>
      </x:c>
    </x:row>
    <x:row r="19">
      <x:c r="A19" s="264" t="n">
        <x:v>46661</x:v>
      </x:c>
      <x:c r="B19" s="211" t="n">
        <x:v>14</x:v>
      </x:c>
      <x:c r="C19" s="212" t="n">
        <x:f>MIN('Assumptions'!$B$22,1+INT((B19-1)/'Assumptions'!$B$23))</x:f>
        <x:v>4</x:v>
      </x:c>
      <x:c r="D19" s="212" t="n">
        <x:f>MAX(0,C19-C18)</x:f>
        <x:v>0</x:v>
      </x:c>
      <x:c r="E19" s="212" t="n">
        <x:f>C19*'Assumptions'!$B$9</x:f>
        <x:v>6000</x:v>
      </x:c>
      <x:c r="F19" s="212" t="n">
        <x:f>E19*'Assumptions'!$B$10</x:f>
        <x:v>5400</x:v>
      </x:c>
      <x:c r="G19" s="212" t="n">
        <x:f>F19*'Assumptions'!$B$11</x:f>
        <x:v>2700</x:v>
      </x:c>
      <x:c r="H19" s="212" t="n">
        <x:f>G19*'Assumptions'!$B$12</x:f>
        <x:v>944.9999999999999</x:v>
      </x:c>
      <x:c r="I19" s="207" t="n">
        <x:f>C19*'Assumptions'!$B$15</x:f>
        <x:v>600000</x:v>
      </x:c>
      <x:c r="J19" s="207" t="n">
        <x:f>D19*'Assumptions'!$B$14</x:f>
        <x:v>0</x:v>
      </x:c>
      <x:c r="K19" s="207" t="n">
        <x:f>G19*'Assumptions'!$B$16</x:f>
        <x:v>405000</x:v>
      </x:c>
      <x:c r="L19" s="207" t="n">
        <x:f>H19*'Assumptions'!$B$13*'Assumptions'!$B$17</x:f>
        <x:v>212624.99999999997</x:v>
      </x:c>
      <x:c r="M19" s="207" t="n">
        <x:f>SUM(I19:L19)</x:f>
        <x:v>1217625</x:v>
      </x:c>
      <x:c r="N19" s="207" t="n">
        <x:f>E19*SUM('Assumptions'!$B$18:$B$20)</x:f>
        <x:v>330000</x:v>
      </x:c>
      <x:c r="O19" s="207" t="n">
        <x:f>C19*'Assumptions'!$B$21</x:f>
        <x:v>200000</x:v>
      </x:c>
      <x:c r="P19" s="207" t="n">
        <x:f>M19-N19-O19</x:f>
        <x:v>687625</x:v>
      </x:c>
      <x:c r="Q19" s="207" t="n">
        <x:f>P19-'Assumptions'!$B$27</x:f>
        <x:v>187625</x:v>
      </x:c>
    </x:row>
    <x:row r="20">
      <x:c r="A20" s="264" t="n">
        <x:v>46692</x:v>
      </x:c>
      <x:c r="B20" s="211" t="n">
        <x:v>15</x:v>
      </x:c>
      <x:c r="C20" s="212" t="n">
        <x:f>MIN('Assumptions'!$B$22,1+INT((B20-1)/'Assumptions'!$B$23))</x:f>
        <x:v>4</x:v>
      </x:c>
      <x:c r="D20" s="212" t="n">
        <x:f>MAX(0,C20-C19)</x:f>
        <x:v>0</x:v>
      </x:c>
      <x:c r="E20" s="212" t="n">
        <x:f>C20*'Assumptions'!$B$9</x:f>
        <x:v>6000</x:v>
      </x:c>
      <x:c r="F20" s="212" t="n">
        <x:f>E20*'Assumptions'!$B$10</x:f>
        <x:v>5400</x:v>
      </x:c>
      <x:c r="G20" s="212" t="n">
        <x:f>F20*'Assumptions'!$B$11</x:f>
        <x:v>2700</x:v>
      </x:c>
      <x:c r="H20" s="212" t="n">
        <x:f>G20*'Assumptions'!$B$12</x:f>
        <x:v>944.9999999999999</x:v>
      </x:c>
      <x:c r="I20" s="207" t="n">
        <x:f>C20*'Assumptions'!$B$15</x:f>
        <x:v>600000</x:v>
      </x:c>
      <x:c r="J20" s="207" t="n">
        <x:f>D20*'Assumptions'!$B$14</x:f>
        <x:v>0</x:v>
      </x:c>
      <x:c r="K20" s="207" t="n">
        <x:f>G20*'Assumptions'!$B$16</x:f>
        <x:v>405000</x:v>
      </x:c>
      <x:c r="L20" s="207" t="n">
        <x:f>H20*'Assumptions'!$B$13*'Assumptions'!$B$17</x:f>
        <x:v>212624.99999999997</x:v>
      </x:c>
      <x:c r="M20" s="207" t="n">
        <x:f>SUM(I20:L20)</x:f>
        <x:v>1217625</x:v>
      </x:c>
      <x:c r="N20" s="207" t="n">
        <x:f>E20*SUM('Assumptions'!$B$18:$B$20)</x:f>
        <x:v>330000</x:v>
      </x:c>
      <x:c r="O20" s="207" t="n">
        <x:f>C20*'Assumptions'!$B$21</x:f>
        <x:v>200000</x:v>
      </x:c>
      <x:c r="P20" s="207" t="n">
        <x:f>M20-N20-O20</x:f>
        <x:v>687625</x:v>
      </x:c>
      <x:c r="Q20" s="207" t="n">
        <x:f>P20-'Assumptions'!$B$27</x:f>
        <x:v>187625</x:v>
      </x:c>
    </x:row>
    <x:row r="21">
      <x:c r="A21" s="264" t="n">
        <x:v>46722</x:v>
      </x:c>
      <x:c r="B21" s="211" t="n">
        <x:v>16</x:v>
      </x:c>
      <x:c r="C21" s="212" t="n">
        <x:f>MIN('Assumptions'!$B$22,1+INT((B21-1)/'Assumptions'!$B$23))</x:f>
        <x:v>4</x:v>
      </x:c>
      <x:c r="D21" s="212" t="n">
        <x:f>MAX(0,C21-C20)</x:f>
        <x:v>0</x:v>
      </x:c>
      <x:c r="E21" s="212" t="n">
        <x:f>C21*'Assumptions'!$B$9</x:f>
        <x:v>6000</x:v>
      </x:c>
      <x:c r="F21" s="212" t="n">
        <x:f>E21*'Assumptions'!$B$10</x:f>
        <x:v>5400</x:v>
      </x:c>
      <x:c r="G21" s="212" t="n">
        <x:f>F21*'Assumptions'!$B$11</x:f>
        <x:v>2700</x:v>
      </x:c>
      <x:c r="H21" s="212" t="n">
        <x:f>G21*'Assumptions'!$B$12</x:f>
        <x:v>944.9999999999999</x:v>
      </x:c>
      <x:c r="I21" s="207" t="n">
        <x:f>C21*'Assumptions'!$B$15</x:f>
        <x:v>600000</x:v>
      </x:c>
      <x:c r="J21" s="207" t="n">
        <x:f>D21*'Assumptions'!$B$14</x:f>
        <x:v>0</x:v>
      </x:c>
      <x:c r="K21" s="207" t="n">
        <x:f>G21*'Assumptions'!$B$16</x:f>
        <x:v>405000</x:v>
      </x:c>
      <x:c r="L21" s="207" t="n">
        <x:f>H21*'Assumptions'!$B$13*'Assumptions'!$B$17</x:f>
        <x:v>212624.99999999997</x:v>
      </x:c>
      <x:c r="M21" s="207" t="n">
        <x:f>SUM(I21:L21)</x:f>
        <x:v>1217625</x:v>
      </x:c>
      <x:c r="N21" s="207" t="n">
        <x:f>E21*SUM('Assumptions'!$B$18:$B$20)</x:f>
        <x:v>330000</x:v>
      </x:c>
      <x:c r="O21" s="207" t="n">
        <x:f>C21*'Assumptions'!$B$21</x:f>
        <x:v>200000</x:v>
      </x:c>
      <x:c r="P21" s="207" t="n">
        <x:f>M21-N21-O21</x:f>
        <x:v>687625</x:v>
      </x:c>
      <x:c r="Q21" s="207" t="n">
        <x:f>P21-'Assumptions'!$B$27</x:f>
        <x:v>187625</x:v>
      </x:c>
    </x:row>
    <x:row r="22">
      <x:c r="A22" s="264" t="n">
        <x:v>46753</x:v>
      </x:c>
      <x:c r="B22" s="211" t="n">
        <x:v>17</x:v>
      </x:c>
      <x:c r="C22" s="212" t="n">
        <x:f>MIN('Assumptions'!$B$22,1+INT((B22-1)/'Assumptions'!$B$23))</x:f>
        <x:v>5</x:v>
      </x:c>
      <x:c r="D22" s="212" t="n">
        <x:f>MAX(0,C22-C21)</x:f>
        <x:v>1</x:v>
      </x:c>
      <x:c r="E22" s="212" t="n">
        <x:f>C22*'Assumptions'!$B$9</x:f>
        <x:v>7500</x:v>
      </x:c>
      <x:c r="F22" s="212" t="n">
        <x:f>E22*'Assumptions'!$B$10</x:f>
        <x:v>6750</x:v>
      </x:c>
      <x:c r="G22" s="212" t="n">
        <x:f>F22*'Assumptions'!$B$11</x:f>
        <x:v>3375</x:v>
      </x:c>
      <x:c r="H22" s="212" t="n">
        <x:f>G22*'Assumptions'!$B$12</x:f>
        <x:v>1181.25</x:v>
      </x:c>
      <x:c r="I22" s="207" t="n">
        <x:f>C22*'Assumptions'!$B$15</x:f>
        <x:v>750000</x:v>
      </x:c>
      <x:c r="J22" s="207" t="n">
        <x:f>D22*'Assumptions'!$B$14</x:f>
        <x:v>350000</x:v>
      </x:c>
      <x:c r="K22" s="207" t="n">
        <x:f>G22*'Assumptions'!$B$16</x:f>
        <x:v>506250</x:v>
      </x:c>
      <x:c r="L22" s="207" t="n">
        <x:f>H22*'Assumptions'!$B$13*'Assumptions'!$B$17</x:f>
        <x:v>265781.25</x:v>
      </x:c>
      <x:c r="M22" s="207" t="n">
        <x:f>SUM(I22:L22)</x:f>
        <x:v>1872031.25</x:v>
      </x:c>
      <x:c r="N22" s="207" t="n">
        <x:f>E22*SUM('Assumptions'!$B$18:$B$20)</x:f>
        <x:v>412500</x:v>
      </x:c>
      <x:c r="O22" s="207" t="n">
        <x:f>C22*'Assumptions'!$B$21</x:f>
        <x:v>250000</x:v>
      </x:c>
      <x:c r="P22" s="207" t="n">
        <x:f>M22-N22-O22</x:f>
        <x:v>1209531.25</x:v>
      </x:c>
      <x:c r="Q22" s="207" t="n">
        <x:f>P22-'Assumptions'!$B$27</x:f>
        <x:v>709531.25</x:v>
      </x:c>
    </x:row>
    <x:row r="23">
      <x:c r="A23" s="264" t="n">
        <x:v>46784</x:v>
      </x:c>
      <x:c r="B23" s="211" t="n">
        <x:v>18</x:v>
      </x:c>
      <x:c r="C23" s="212" t="n">
        <x:f>MIN('Assumptions'!$B$22,1+INT((B23-1)/'Assumptions'!$B$23))</x:f>
        <x:v>5</x:v>
      </x:c>
      <x:c r="D23" s="212" t="n">
        <x:f>MAX(0,C23-C22)</x:f>
        <x:v>0</x:v>
      </x:c>
      <x:c r="E23" s="212" t="n">
        <x:f>C23*'Assumptions'!$B$9</x:f>
        <x:v>7500</x:v>
      </x:c>
      <x:c r="F23" s="212" t="n">
        <x:f>E23*'Assumptions'!$B$10</x:f>
        <x:v>6750</x:v>
      </x:c>
      <x:c r="G23" s="212" t="n">
        <x:f>F23*'Assumptions'!$B$11</x:f>
        <x:v>3375</x:v>
      </x:c>
      <x:c r="H23" s="212" t="n">
        <x:f>G23*'Assumptions'!$B$12</x:f>
        <x:v>1181.25</x:v>
      </x:c>
      <x:c r="I23" s="207" t="n">
        <x:f>C23*'Assumptions'!$B$15</x:f>
        <x:v>750000</x:v>
      </x:c>
      <x:c r="J23" s="207" t="n">
        <x:f>D23*'Assumptions'!$B$14</x:f>
        <x:v>0</x:v>
      </x:c>
      <x:c r="K23" s="207" t="n">
        <x:f>G23*'Assumptions'!$B$16</x:f>
        <x:v>506250</x:v>
      </x:c>
      <x:c r="L23" s="207" t="n">
        <x:f>H23*'Assumptions'!$B$13*'Assumptions'!$B$17</x:f>
        <x:v>265781.25</x:v>
      </x:c>
      <x:c r="M23" s="207" t="n">
        <x:f>SUM(I23:L23)</x:f>
        <x:v>1522031.25</x:v>
      </x:c>
      <x:c r="N23" s="207" t="n">
        <x:f>E23*SUM('Assumptions'!$B$18:$B$20)</x:f>
        <x:v>412500</x:v>
      </x:c>
      <x:c r="O23" s="207" t="n">
        <x:f>C23*'Assumptions'!$B$21</x:f>
        <x:v>250000</x:v>
      </x:c>
      <x:c r="P23" s="207" t="n">
        <x:f>M23-N23-O23</x:f>
        <x:v>859531.25</x:v>
      </x:c>
      <x:c r="Q23" s="207" t="n">
        <x:f>P23-'Assumptions'!$B$27</x:f>
        <x:v>359531.25</x:v>
      </x:c>
    </x:row>
    <x:row r="24">
      <x:c r="A24" s="264" t="n">
        <x:v>46813</x:v>
      </x:c>
      <x:c r="B24" s="211" t="n">
        <x:v>19</x:v>
      </x:c>
      <x:c r="C24" s="212" t="n">
        <x:f>MIN('Assumptions'!$B$22,1+INT((B24-1)/'Assumptions'!$B$23))</x:f>
        <x:v>5</x:v>
      </x:c>
      <x:c r="D24" s="212" t="n">
        <x:f>MAX(0,C24-C23)</x:f>
        <x:v>0</x:v>
      </x:c>
      <x:c r="E24" s="212" t="n">
        <x:f>C24*'Assumptions'!$B$9</x:f>
        <x:v>7500</x:v>
      </x:c>
      <x:c r="F24" s="212" t="n">
        <x:f>E24*'Assumptions'!$B$10</x:f>
        <x:v>6750</x:v>
      </x:c>
      <x:c r="G24" s="212" t="n">
        <x:f>F24*'Assumptions'!$B$11</x:f>
        <x:v>3375</x:v>
      </x:c>
      <x:c r="H24" s="212" t="n">
        <x:f>G24*'Assumptions'!$B$12</x:f>
        <x:v>1181.25</x:v>
      </x:c>
      <x:c r="I24" s="207" t="n">
        <x:f>C24*'Assumptions'!$B$15</x:f>
        <x:v>750000</x:v>
      </x:c>
      <x:c r="J24" s="207" t="n">
        <x:f>D24*'Assumptions'!$B$14</x:f>
        <x:v>0</x:v>
      </x:c>
      <x:c r="K24" s="207" t="n">
        <x:f>G24*'Assumptions'!$B$16</x:f>
        <x:v>506250</x:v>
      </x:c>
      <x:c r="L24" s="207" t="n">
        <x:f>H24*'Assumptions'!$B$13*'Assumptions'!$B$17</x:f>
        <x:v>265781.25</x:v>
      </x:c>
      <x:c r="M24" s="207" t="n">
        <x:f>SUM(I24:L24)</x:f>
        <x:v>1522031.25</x:v>
      </x:c>
      <x:c r="N24" s="207" t="n">
        <x:f>E24*SUM('Assumptions'!$B$18:$B$20)</x:f>
        <x:v>412500</x:v>
      </x:c>
      <x:c r="O24" s="207" t="n">
        <x:f>C24*'Assumptions'!$B$21</x:f>
        <x:v>250000</x:v>
      </x:c>
      <x:c r="P24" s="207" t="n">
        <x:f>M24-N24-O24</x:f>
        <x:v>859531.25</x:v>
      </x:c>
      <x:c r="Q24" s="207" t="n">
        <x:f>P24-'Assumptions'!$B$27</x:f>
        <x:v>359531.25</x:v>
      </x:c>
    </x:row>
    <x:row r="25">
      <x:c r="A25" s="264" t="n">
        <x:v>46844</x:v>
      </x:c>
      <x:c r="B25" s="211" t="n">
        <x:v>20</x:v>
      </x:c>
      <x:c r="C25" s="212" t="n">
        <x:f>MIN('Assumptions'!$B$22,1+INT((B25-1)/'Assumptions'!$B$23))</x:f>
        <x:v>5</x:v>
      </x:c>
      <x:c r="D25" s="212" t="n">
        <x:f>MAX(0,C25-C24)</x:f>
        <x:v>0</x:v>
      </x:c>
      <x:c r="E25" s="212" t="n">
        <x:f>C25*'Assumptions'!$B$9</x:f>
        <x:v>7500</x:v>
      </x:c>
      <x:c r="F25" s="212" t="n">
        <x:f>E25*'Assumptions'!$B$10</x:f>
        <x:v>6750</x:v>
      </x:c>
      <x:c r="G25" s="212" t="n">
        <x:f>F25*'Assumptions'!$B$11</x:f>
        <x:v>3375</x:v>
      </x:c>
      <x:c r="H25" s="212" t="n">
        <x:f>G25*'Assumptions'!$B$12</x:f>
        <x:v>1181.25</x:v>
      </x:c>
      <x:c r="I25" s="207" t="n">
        <x:f>C25*'Assumptions'!$B$15</x:f>
        <x:v>750000</x:v>
      </x:c>
      <x:c r="J25" s="207" t="n">
        <x:f>D25*'Assumptions'!$B$14</x:f>
        <x:v>0</x:v>
      </x:c>
      <x:c r="K25" s="207" t="n">
        <x:f>G25*'Assumptions'!$B$16</x:f>
        <x:v>506250</x:v>
      </x:c>
      <x:c r="L25" s="207" t="n">
        <x:f>H25*'Assumptions'!$B$13*'Assumptions'!$B$17</x:f>
        <x:v>265781.25</x:v>
      </x:c>
      <x:c r="M25" s="207" t="n">
        <x:f>SUM(I25:L25)</x:f>
        <x:v>1522031.25</x:v>
      </x:c>
      <x:c r="N25" s="207" t="n">
        <x:f>E25*SUM('Assumptions'!$B$18:$B$20)</x:f>
        <x:v>412500</x:v>
      </x:c>
      <x:c r="O25" s="207" t="n">
        <x:f>C25*'Assumptions'!$B$21</x:f>
        <x:v>250000</x:v>
      </x:c>
      <x:c r="P25" s="207" t="n">
        <x:f>M25-N25-O25</x:f>
        <x:v>859531.25</x:v>
      </x:c>
      <x:c r="Q25" s="207" t="n">
        <x:f>P25-'Assumptions'!$B$27</x:f>
        <x:v>359531.25</x:v>
      </x:c>
    </x:row>
    <x:row r="26">
      <x:c r="A26" s="264" t="n">
        <x:v>46874</x:v>
      </x:c>
      <x:c r="B26" s="211" t="n">
        <x:v>21</x:v>
      </x:c>
      <x:c r="C26" s="212" t="n">
        <x:f>MIN('Assumptions'!$B$22,1+INT((B26-1)/'Assumptions'!$B$23))</x:f>
        <x:v>6</x:v>
      </x:c>
      <x:c r="D26" s="212" t="n">
        <x:f>MAX(0,C26-C25)</x:f>
        <x:v>1</x:v>
      </x:c>
      <x:c r="E26" s="212" t="n">
        <x:f>C26*'Assumptions'!$B$9</x:f>
        <x:v>9000</x:v>
      </x:c>
      <x:c r="F26" s="212" t="n">
        <x:f>E26*'Assumptions'!$B$10</x:f>
        <x:v>8100</x:v>
      </x:c>
      <x:c r="G26" s="212" t="n">
        <x:f>F26*'Assumptions'!$B$11</x:f>
        <x:v>4050</x:v>
      </x:c>
      <x:c r="H26" s="212" t="n">
        <x:f>G26*'Assumptions'!$B$12</x:f>
        <x:v>1417.5</x:v>
      </x:c>
      <x:c r="I26" s="207" t="n">
        <x:f>C26*'Assumptions'!$B$15</x:f>
        <x:v>900000</x:v>
      </x:c>
      <x:c r="J26" s="207" t="n">
        <x:f>D26*'Assumptions'!$B$14</x:f>
        <x:v>350000</x:v>
      </x:c>
      <x:c r="K26" s="207" t="n">
        <x:f>G26*'Assumptions'!$B$16</x:f>
        <x:v>607500</x:v>
      </x:c>
      <x:c r="L26" s="207" t="n">
        <x:f>H26*'Assumptions'!$B$13*'Assumptions'!$B$17</x:f>
        <x:v>318937.5</x:v>
      </x:c>
      <x:c r="M26" s="207" t="n">
        <x:f>SUM(I26:L26)</x:f>
        <x:v>2176437.5</x:v>
      </x:c>
      <x:c r="N26" s="207" t="n">
        <x:f>E26*SUM('Assumptions'!$B$18:$B$20)</x:f>
        <x:v>495000</x:v>
      </x:c>
      <x:c r="O26" s="207" t="n">
        <x:f>C26*'Assumptions'!$B$21</x:f>
        <x:v>300000</x:v>
      </x:c>
      <x:c r="P26" s="207" t="n">
        <x:f>M26-N26-O26</x:f>
        <x:v>1381437.5</x:v>
      </x:c>
      <x:c r="Q26" s="207" t="n">
        <x:f>P26-'Assumptions'!$B$27</x:f>
        <x:v>881437.5</x:v>
      </x:c>
    </x:row>
    <x:row r="27">
      <x:c r="A27" s="264" t="n">
        <x:v>46905</x:v>
      </x:c>
      <x:c r="B27" s="211" t="n">
        <x:v>22</x:v>
      </x:c>
      <x:c r="C27" s="212" t="n">
        <x:f>MIN('Assumptions'!$B$22,1+INT((B27-1)/'Assumptions'!$B$23))</x:f>
        <x:v>6</x:v>
      </x:c>
      <x:c r="D27" s="212" t="n">
        <x:f>MAX(0,C27-C26)</x:f>
        <x:v>0</x:v>
      </x:c>
      <x:c r="E27" s="212" t="n">
        <x:f>C27*'Assumptions'!$B$9</x:f>
        <x:v>9000</x:v>
      </x:c>
      <x:c r="F27" s="212" t="n">
        <x:f>E27*'Assumptions'!$B$10</x:f>
        <x:v>8100</x:v>
      </x:c>
      <x:c r="G27" s="212" t="n">
        <x:f>F27*'Assumptions'!$B$11</x:f>
        <x:v>4050</x:v>
      </x:c>
      <x:c r="H27" s="212" t="n">
        <x:f>G27*'Assumptions'!$B$12</x:f>
        <x:v>1417.5</x:v>
      </x:c>
      <x:c r="I27" s="207" t="n">
        <x:f>C27*'Assumptions'!$B$15</x:f>
        <x:v>900000</x:v>
      </x:c>
      <x:c r="J27" s="207" t="n">
        <x:f>D27*'Assumptions'!$B$14</x:f>
        <x:v>0</x:v>
      </x:c>
      <x:c r="K27" s="207" t="n">
        <x:f>G27*'Assumptions'!$B$16</x:f>
        <x:v>607500</x:v>
      </x:c>
      <x:c r="L27" s="207" t="n">
        <x:f>H27*'Assumptions'!$B$13*'Assumptions'!$B$17</x:f>
        <x:v>318937.5</x:v>
      </x:c>
      <x:c r="M27" s="207" t="n">
        <x:f>SUM(I27:L27)</x:f>
        <x:v>1826437.5</x:v>
      </x:c>
      <x:c r="N27" s="207" t="n">
        <x:f>E27*SUM('Assumptions'!$B$18:$B$20)</x:f>
        <x:v>495000</x:v>
      </x:c>
      <x:c r="O27" s="207" t="n">
        <x:f>C27*'Assumptions'!$B$21</x:f>
        <x:v>300000</x:v>
      </x:c>
      <x:c r="P27" s="207" t="n">
        <x:f>M27-N27-O27</x:f>
        <x:v>1031437.5</x:v>
      </x:c>
      <x:c r="Q27" s="207" t="n">
        <x:f>P27-'Assumptions'!$B$27</x:f>
        <x:v>531437.5</x:v>
      </x:c>
    </x:row>
    <x:row r="28">
      <x:c r="A28" s="264" t="n">
        <x:v>46935</x:v>
      </x:c>
      <x:c r="B28" s="211" t="n">
        <x:v>23</x:v>
      </x:c>
      <x:c r="C28" s="212" t="n">
        <x:f>MIN('Assumptions'!$B$22,1+INT((B28-1)/'Assumptions'!$B$23))</x:f>
        <x:v>6</x:v>
      </x:c>
      <x:c r="D28" s="212" t="n">
        <x:f>MAX(0,C28-C27)</x:f>
        <x:v>0</x:v>
      </x:c>
      <x:c r="E28" s="212" t="n">
        <x:f>C28*'Assumptions'!$B$9</x:f>
        <x:v>9000</x:v>
      </x:c>
      <x:c r="F28" s="212" t="n">
        <x:f>E28*'Assumptions'!$B$10</x:f>
        <x:v>8100</x:v>
      </x:c>
      <x:c r="G28" s="212" t="n">
        <x:f>F28*'Assumptions'!$B$11</x:f>
        <x:v>4050</x:v>
      </x:c>
      <x:c r="H28" s="212" t="n">
        <x:f>G28*'Assumptions'!$B$12</x:f>
        <x:v>1417.5</x:v>
      </x:c>
      <x:c r="I28" s="207" t="n">
        <x:f>C28*'Assumptions'!$B$15</x:f>
        <x:v>900000</x:v>
      </x:c>
      <x:c r="J28" s="207" t="n">
        <x:f>D28*'Assumptions'!$B$14</x:f>
        <x:v>0</x:v>
      </x:c>
      <x:c r="K28" s="207" t="n">
        <x:f>G28*'Assumptions'!$B$16</x:f>
        <x:v>607500</x:v>
      </x:c>
      <x:c r="L28" s="207" t="n">
        <x:f>H28*'Assumptions'!$B$13*'Assumptions'!$B$17</x:f>
        <x:v>318937.5</x:v>
      </x:c>
      <x:c r="M28" s="207" t="n">
        <x:f>SUM(I28:L28)</x:f>
        <x:v>1826437.5</x:v>
      </x:c>
      <x:c r="N28" s="207" t="n">
        <x:f>E28*SUM('Assumptions'!$B$18:$B$20)</x:f>
        <x:v>495000</x:v>
      </x:c>
      <x:c r="O28" s="207" t="n">
        <x:f>C28*'Assumptions'!$B$21</x:f>
        <x:v>300000</x:v>
      </x:c>
      <x:c r="P28" s="207" t="n">
        <x:f>M28-N28-O28</x:f>
        <x:v>1031437.5</x:v>
      </x:c>
      <x:c r="Q28" s="207" t="n">
        <x:f>P28-'Assumptions'!$B$27</x:f>
        <x:v>531437.5</x:v>
      </x:c>
    </x:row>
    <x:row r="29">
      <x:c r="A29" s="264" t="n">
        <x:v>46966</x:v>
      </x:c>
      <x:c r="B29" s="211" t="n">
        <x:v>24</x:v>
      </x:c>
      <x:c r="C29" s="212" t="n">
        <x:f>MIN('Assumptions'!$B$22,1+INT((B29-1)/'Assumptions'!$B$23))</x:f>
        <x:v>6</x:v>
      </x:c>
      <x:c r="D29" s="212" t="n">
        <x:f>MAX(0,C29-C28)</x:f>
        <x:v>0</x:v>
      </x:c>
      <x:c r="E29" s="212" t="n">
        <x:f>C29*'Assumptions'!$B$9</x:f>
        <x:v>9000</x:v>
      </x:c>
      <x:c r="F29" s="212" t="n">
        <x:f>E29*'Assumptions'!$B$10</x:f>
        <x:v>8100</x:v>
      </x:c>
      <x:c r="G29" s="212" t="n">
        <x:f>F29*'Assumptions'!$B$11</x:f>
        <x:v>4050</x:v>
      </x:c>
      <x:c r="H29" s="212" t="n">
        <x:f>G29*'Assumptions'!$B$12</x:f>
        <x:v>1417.5</x:v>
      </x:c>
      <x:c r="I29" s="207" t="n">
        <x:f>C29*'Assumptions'!$B$15</x:f>
        <x:v>900000</x:v>
      </x:c>
      <x:c r="J29" s="207" t="n">
        <x:f>D29*'Assumptions'!$B$14</x:f>
        <x:v>0</x:v>
      </x:c>
      <x:c r="K29" s="207" t="n">
        <x:f>G29*'Assumptions'!$B$16</x:f>
        <x:v>607500</x:v>
      </x:c>
      <x:c r="L29" s="207" t="n">
        <x:f>H29*'Assumptions'!$B$13*'Assumptions'!$B$17</x:f>
        <x:v>318937.5</x:v>
      </x:c>
      <x:c r="M29" s="207" t="n">
        <x:f>SUM(I29:L29)</x:f>
        <x:v>1826437.5</x:v>
      </x:c>
      <x:c r="N29" s="207" t="n">
        <x:f>E29*SUM('Assumptions'!$B$18:$B$20)</x:f>
        <x:v>495000</x:v>
      </x:c>
      <x:c r="O29" s="207" t="n">
        <x:f>C29*'Assumptions'!$B$21</x:f>
        <x:v>300000</x:v>
      </x:c>
      <x:c r="P29" s="207" t="n">
        <x:f>M29-N29-O29</x:f>
        <x:v>1031437.5</x:v>
      </x:c>
      <x:c r="Q29" s="207" t="n">
        <x:f>P29-'Assumptions'!$B$27</x:f>
        <x:v>531437.5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9" hidden="0" customWidth="1"/>
    <x:col min="5" max="5" width="18" hidden="0" customWidth="1"/>
    <x:col min="6" max="6" width="18" hidden="0" customWidth="1"/>
    <x:col min="7" max="7" width="13" hidden="0" customWidth="1"/>
    <x:col min="8" max="8" width="22" hidden="0" customWidth="1"/>
  </x:cols>
  <x:sheetData>
    <x:row r="1" ht="34" customHeight="1">
      <x:c r="A1" s="167" t="str">
        <x:v>Scenario Comparison</x:v>
      </x:c>
      <x:c r="B1" s="167"/>
      <x:c r="C1" s="167"/>
      <x:c r="D1" s="167"/>
      <x:c r="E1" s="167"/>
      <x:c r="F1" s="167"/>
      <x:c r="G1" s="167"/>
      <x:c r="H1" s="167"/>
    </x:row>
    <x:row r="2" ht="30" customHeight="1">
      <x:c r="A2" s="168" t="str">
        <x:v>Three illustrative cases using the editable assumptions. This is not a forecast of actual demand.</x:v>
      </x:c>
      <x:c r="B2" s="168"/>
      <x:c r="C2" s="168"/>
      <x:c r="D2" s="168"/>
      <x:c r="E2" s="168"/>
      <x:c r="F2" s="168"/>
      <x:c r="G2" s="168"/>
      <x:c r="H2" s="168"/>
    </x:row>
    <x:row r="3">
      <x:c r="A3" s="200"/>
      <x:c r="B3" s="200"/>
      <x:c r="C3" s="200"/>
      <x:c r="D3" s="200"/>
      <x:c r="E3" s="200"/>
      <x:c r="F3" s="200"/>
      <x:c r="G3" s="200"/>
      <x:c r="H3" s="200"/>
    </x:row>
    <x:row r="4">
      <x:c r="A4" s="200"/>
      <x:c r="B4" s="200"/>
      <x:c r="C4" s="200"/>
      <x:c r="D4" s="200"/>
      <x:c r="E4" s="200"/>
      <x:c r="F4" s="200"/>
      <x:c r="G4" s="200"/>
      <x:c r="H4" s="200"/>
    </x:row>
    <x:row r="5">
      <x:c r="A5" s="186" t="str">
        <x:v>Scenario</x:v>
      </x:c>
      <x:c r="B5" s="187" t="str">
        <x:v>Requests</x:v>
      </x:c>
      <x:c r="C5" s="187" t="str">
        <x:v>Paid orders</x:v>
      </x:c>
      <x:c r="D5" s="187" t="str">
        <x:v>Monthly revenue</x:v>
      </x:c>
      <x:c r="E5" s="187" t="str">
        <x:v>Direct cost</x:v>
      </x:c>
      <x:c r="F5" s="187" t="str">
        <x:v>Contribution</x:v>
      </x:c>
      <x:c r="G5" s="187" t="str">
        <x:v>Margin</x:v>
      </x:c>
      <x:c r="H5" s="188" t="str">
        <x:v>Pharmacy value multiple</x:v>
      </x:c>
    </x:row>
    <x:row r="6">
      <x:c r="A6" s="209" t="str">
        <x:v>Conservative</x:v>
      </x:c>
      <x:c r="B6" s="210" t="n">
        <x:f>'Assumptions'!C9</x:f>
        <x:v>600</x:v>
      </x:c>
      <x:c r="C6" s="210" t="n">
        <x:f>B6*'Assumptions'!C10*'Assumptions'!C11</x:f>
        <x:v>168</x:v>
      </x:c>
      <x:c r="D6" s="204" t="n">
        <x:f>'Assumptions'!C15+C6*'Assumptions'!C16+C6*'Assumptions'!C12*'Assumptions'!C13*'Assumptions'!C17+'Assumptions'!C14/12</x:f>
        <x:v>141665.33333333334</x:v>
      </x:c>
      <x:c r="E6" s="204" t="n">
        <x:f>B6*SUM('Assumptions'!C18:C20)+'Assumptions'!C21</x:f>
        <x:v>99000</x:v>
      </x:c>
      <x:c r="F6" s="204" t="n">
        <x:f>D6-E6</x:f>
        <x:v>42665.33333333334</x:v>
      </x:c>
      <x:c r="G6" s="205" t="n">
        <x:f>IFERROR(F6/D6,0)</x:f>
        <x:v>0.3011698933637023</x:v>
      </x:c>
      <x:c r="H6" s="267" t="n">
        <x:f>IFERROR((C6*'Assumptions'!C24*'Assumptions'!C25*'Assumptions'!C26)/('Assumptions'!C15+C6*'Assumptions'!C16+'Assumptions'!C14/12),0)</x:f>
        <x:v>0.27464277064664566</x:v>
      </x:c>
    </x:row>
    <x:row r="7">
      <x:c r="A7" s="211" t="str">
        <x:v>Base</x:v>
      </x:c>
      <x:c r="B7" s="212" t="n">
        <x:f>'Assumptions'!D9</x:f>
        <x:v>1500</x:v>
      </x:c>
      <x:c r="C7" s="212" t="n">
        <x:f>B7*'Assumptions'!D10*'Assumptions'!D11</x:f>
        <x:v>675</x:v>
      </x:c>
      <x:c r="D7" s="207" t="n">
        <x:f>'Assumptions'!D15+C7*'Assumptions'!D16+C7*'Assumptions'!D12*'Assumptions'!D13*'Assumptions'!D17+'Assumptions'!D14/12</x:f>
        <x:v>333572.9166666667</x:v>
      </x:c>
      <x:c r="E7" s="207" t="n">
        <x:f>B7*SUM('Assumptions'!D18:D20)+'Assumptions'!D21</x:f>
        <x:v>132500</x:v>
      </x:c>
      <x:c r="F7" s="207" t="n">
        <x:f>D7-E7</x:f>
        <x:v>201072.9166666667</x:v>
      </x:c>
      <x:c r="G7" s="208" t="n">
        <x:f>IFERROR(F7/D7,0)</x:f>
        <x:v>0.6027854979233676</x:v>
      </x:c>
      <x:c r="H7" s="268" t="n">
        <x:f>IFERROR((C7*'Assumptions'!D24*'Assumptions'!D25*'Assumptions'!D26)/('Assumptions'!D15+C7*'Assumptions'!D16+'Assumptions'!D14/12),0)</x:f>
        <x:v>1.8053491827637442</x:v>
      </x:c>
    </x:row>
    <x:row r="8">
      <x:c r="A8" s="211" t="str">
        <x:v>Growth</x:v>
      </x:c>
      <x:c r="B8" s="212" t="n">
        <x:f>'Assumptions'!E9</x:f>
        <x:v>3000</x:v>
      </x:c>
      <x:c r="C8" s="212" t="n">
        <x:f>B8*'Assumptions'!E10*'Assumptions'!E11</x:f>
        <x:v>1710</x:v>
      </x:c>
      <x:c r="D8" s="207" t="n">
        <x:f>'Assumptions'!E15+C8*'Assumptions'!E16+C8*'Assumptions'!E12*'Assumptions'!E13*'Assumptions'!E17+'Assumptions'!E14/12</x:f>
        <x:v>910686.6666666666</x:v>
      </x:c>
      <x:c r="E8" s="207" t="n">
        <x:f>B8*SUM('Assumptions'!E18:E20)+'Assumptions'!E21</x:f>
        <x:v>180000</x:v>
      </x:c>
      <x:c r="F8" s="207" t="n">
        <x:f>D8-E8</x:f>
        <x:v>730686.6666666666</x:v>
      </x:c>
      <x:c r="G8" s="208" t="n">
        <x:f>IFERROR(F8/D8,0)</x:f>
        <x:v>0.8023469469923794</x:v>
      </x:c>
      <x:c r="H8" s="268" t="n">
        <x:f>IFERROR((C8*'Assumptions'!E24*'Assumptions'!E25*'Assumptions'!E26)/('Assumptions'!E15+C8*'Assumptions'!E16+'Assumptions'!E14/12),0)</x:f>
        <x:v>5.3971593897948456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0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22" hidden="0" customWidth="1"/>
    <x:col min="13" max="13" width="17" hidden="0" customWidth="1"/>
    <x:col min="14" max="14" width="11" hidden="0" customWidth="1"/>
    <x:col min="15" max="15" width="17" hidden="0" customWidth="1"/>
    <x:col min="16" max="16" width="18" hidden="0" customWidth="1"/>
    <x:col min="17" max="17" width="26" hidden="0" customWidth="1"/>
    <x:col min="18" max="18" width="17" hidden="0" customWidth="1"/>
    <x:col min="19" max="19" width="20" hidden="0" customWidth="1"/>
    <x:col min="20" max="20" width="20" hidden="0" customWidth="1"/>
    <x:col min="21" max="21" width="18" hidden="0" customWidth="1"/>
    <x:col min="22" max="22" width="19" hidden="0" customWidth="1"/>
    <x:col min="23" max="23" width="17" hidden="0" customWidth="1"/>
    <x:col min="24" max="24" width="17" hidden="0" customWidth="1"/>
    <x:col min="25" max="25" width="17" hidden="0" customWidth="1"/>
    <x:col min="26" max="26" width="36" hidden="0" customWidth="1"/>
  </x:cols>
  <x:sheetData>
    <x:row r="1" ht="34" customHeight="1">
      <x:c r="A1" s="167" t="str">
        <x:v>Pilot Request Data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  <x:c r="Y1" s="167"/>
      <x:c r="Z1" s="167"/>
    </x:row>
    <x:row r="2" ht="30" customHeight="1">
      <x:c r="A2" s="168" t="str">
        <x:v>Administrative measurement only. Do not enter patient names, phone numbers, diagnoses, medicine details, or prescription-image links.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  <x:c r="Y2" s="168"/>
      <x:c r="Z2" s="168"/>
    </x:row>
    <x:row r="3">
      <x:c r="A3" s="200"/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  <x:c r="R3" s="200"/>
      <x:c r="S3" s="200"/>
      <x:c r="T3" s="200"/>
      <x:c r="U3" s="200"/>
      <x:c r="V3" s="200"/>
      <x:c r="W3" s="200"/>
      <x:c r="X3" s="200"/>
      <x:c r="Y3" s="200"/>
      <x:c r="Z3" s="200"/>
    </x:row>
    <x:row r="4">
      <x:c r="A4" s="186" t="str">
        <x:v>Request ID</x:v>
      </x:c>
      <x:c r="B4" s="187" t="str">
        <x:v>Request date</x:v>
      </x:c>
      <x:c r="C4" s="187" t="str">
        <x:v>Channel</x:v>
      </x:c>
      <x:c r="D4" s="187" t="str">
        <x:v>Source type</x:v>
      </x:c>
      <x:c r="E4" s="187" t="str">
        <x:v>Source/partner code</x:v>
      </x:c>
      <x:c r="F4" s="187" t="str">
        <x:v>Valid request?</x:v>
      </x:c>
      <x:c r="G4" s="187" t="str">
        <x:v>Image clarification?</x:v>
      </x:c>
      <x:c r="H4" s="187" t="str">
        <x:v>Lines submitted</x:v>
      </x:c>
      <x:c r="I4" s="187" t="str">
        <x:v>Lines corrected</x:v>
      </x:c>
      <x:c r="J4" s="187" t="str">
        <x:v>Quote issued?</x:v>
      </x:c>
      <x:c r="K4" s="187" t="str">
        <x:v>Minutes to quote</x:v>
      </x:c>
      <x:c r="L4" s="187" t="str">
        <x:v>Availability outcome</x:v>
      </x:c>
      <x:c r="M4" s="187" t="str">
        <x:v>Quote value NGN</x:v>
      </x:c>
      <x:c r="N4" s="187" t="str">
        <x:v>Paid?</x:v>
      </x:c>
      <x:c r="O4" s="187" t="str">
        <x:v>Paid value NGN</x:v>
      </x:c>
      <x:c r="P4" s="187" t="str">
        <x:v>Fulfilment choice</x:v>
      </x:c>
      <x:c r="Q4" s="187" t="str">
        <x:v>Delivery zone</x:v>
      </x:c>
      <x:c r="R4" s="187" t="str">
        <x:v>Delivery fee NGN</x:v>
      </x:c>
      <x:c r="S4" s="187" t="str">
        <x:v>Promise time</x:v>
      </x:c>
      <x:c r="T4" s="187" t="str">
        <x:v>Ready/handoff time</x:v>
      </x:c>
      <x:c r="U4" s="187" t="str">
        <x:v>Ready on promise?</x:v>
      </x:c>
      <x:c r="V4" s="187" t="str">
        <x:v>Cancelled/refunded?</x:v>
      </x:c>
      <x:c r="W4" s="187" t="str">
        <x:v>Pharmacy error?</x:v>
      </x:c>
      <x:c r="X4" s="187" t="str">
        <x:v>Safety incident?</x:v>
      </x:c>
      <x:c r="Y4" s="187" t="str">
        <x:v>Privacy incident?</x:v>
      </x:c>
      <x:c r="Z4" s="188" t="str">
        <x:v>Notes</x:v>
      </x:c>
    </x:row>
    <x:row r="5">
      <x:c r="A5" s="290"/>
      <x:c r="B5" s="291"/>
      <x:c r="C5" s="290"/>
      <x:c r="D5" s="290"/>
      <x:c r="E5" s="290"/>
      <x:c r="F5" s="290"/>
      <x:c r="G5" s="290"/>
      <x:c r="H5" s="292"/>
      <x:c r="I5" s="292"/>
      <x:c r="J5" s="290"/>
      <x:c r="K5" s="293"/>
      <x:c r="L5" s="290"/>
      <x:c r="M5" s="294"/>
      <x:c r="N5" s="290"/>
      <x:c r="O5" s="294"/>
      <x:c r="P5" s="290"/>
      <x:c r="Q5" s="290"/>
      <x:c r="R5" s="294"/>
      <x:c r="S5" s="295"/>
      <x:c r="T5" s="295"/>
      <x:c r="U5" s="296" t="str">
        <x:f>IF(OR(S5="",T5=""),"",IF(T5&lt;=S5,"Yes","No"))</x:f>
      </x:c>
      <x:c r="V5" s="290"/>
      <x:c r="W5" s="290"/>
      <x:c r="X5" s="290"/>
      <x:c r="Y5" s="290"/>
      <x:c r="Z5" s="290"/>
    </x:row>
    <x:row r="6">
      <x:c r="A6" s="297"/>
      <x:c r="B6" s="298"/>
      <x:c r="C6" s="297"/>
      <x:c r="D6" s="297"/>
      <x:c r="E6" s="297"/>
      <x:c r="F6" s="297"/>
      <x:c r="G6" s="297"/>
      <x:c r="H6" s="299"/>
      <x:c r="I6" s="299"/>
      <x:c r="J6" s="297"/>
      <x:c r="K6" s="300"/>
      <x:c r="L6" s="297"/>
      <x:c r="M6" s="301"/>
      <x:c r="N6" s="297"/>
      <x:c r="O6" s="301"/>
      <x:c r="P6" s="297"/>
      <x:c r="Q6" s="297"/>
      <x:c r="R6" s="301"/>
      <x:c r="S6" s="302"/>
      <x:c r="T6" s="302"/>
      <x:c r="U6" s="303" t="str">
        <x:f>IF(OR(S6="",T6=""),"",IF(T6&lt;=S6,"Yes","No"))</x:f>
      </x:c>
      <x:c r="V6" s="297"/>
      <x:c r="W6" s="297"/>
      <x:c r="X6" s="297"/>
      <x:c r="Y6" s="297"/>
      <x:c r="Z6" s="297"/>
    </x:row>
    <x:row r="7">
      <x:c r="A7" s="297"/>
      <x:c r="B7" s="298"/>
      <x:c r="C7" s="297"/>
      <x:c r="D7" s="297"/>
      <x:c r="E7" s="297"/>
      <x:c r="F7" s="297"/>
      <x:c r="G7" s="297"/>
      <x:c r="H7" s="299"/>
      <x:c r="I7" s="299"/>
      <x:c r="J7" s="297"/>
      <x:c r="K7" s="300"/>
      <x:c r="L7" s="297"/>
      <x:c r="M7" s="301"/>
      <x:c r="N7" s="297"/>
      <x:c r="O7" s="301"/>
      <x:c r="P7" s="297"/>
      <x:c r="Q7" s="297"/>
      <x:c r="R7" s="301"/>
      <x:c r="S7" s="302"/>
      <x:c r="T7" s="302"/>
      <x:c r="U7" s="303" t="str">
        <x:f>IF(OR(S7="",T7=""),"",IF(T7&lt;=S7,"Yes","No"))</x:f>
      </x:c>
      <x:c r="V7" s="297"/>
      <x:c r="W7" s="297"/>
      <x:c r="X7" s="297"/>
      <x:c r="Y7" s="297"/>
      <x:c r="Z7" s="297"/>
    </x:row>
    <x:row r="8">
      <x:c r="A8" s="297"/>
      <x:c r="B8" s="298"/>
      <x:c r="C8" s="297"/>
      <x:c r="D8" s="297"/>
      <x:c r="E8" s="297"/>
      <x:c r="F8" s="297"/>
      <x:c r="G8" s="297"/>
      <x:c r="H8" s="299"/>
      <x:c r="I8" s="299"/>
      <x:c r="J8" s="297"/>
      <x:c r="K8" s="300"/>
      <x:c r="L8" s="297"/>
      <x:c r="M8" s="301"/>
      <x:c r="N8" s="297"/>
      <x:c r="O8" s="301"/>
      <x:c r="P8" s="297"/>
      <x:c r="Q8" s="297"/>
      <x:c r="R8" s="301"/>
      <x:c r="S8" s="302"/>
      <x:c r="T8" s="302"/>
      <x:c r="U8" s="303" t="str">
        <x:f>IF(OR(S8="",T8=""),"",IF(T8&lt;=S8,"Yes","No"))</x:f>
      </x:c>
      <x:c r="V8" s="297"/>
      <x:c r="W8" s="297"/>
      <x:c r="X8" s="297"/>
      <x:c r="Y8" s="297"/>
      <x:c r="Z8" s="297"/>
    </x:row>
    <x:row r="9">
      <x:c r="A9" s="297"/>
      <x:c r="B9" s="298"/>
      <x:c r="C9" s="297"/>
      <x:c r="D9" s="297"/>
      <x:c r="E9" s="297"/>
      <x:c r="F9" s="297"/>
      <x:c r="G9" s="297"/>
      <x:c r="H9" s="299"/>
      <x:c r="I9" s="299"/>
      <x:c r="J9" s="297"/>
      <x:c r="K9" s="300"/>
      <x:c r="L9" s="297"/>
      <x:c r="M9" s="301"/>
      <x:c r="N9" s="297"/>
      <x:c r="O9" s="301"/>
      <x:c r="P9" s="297"/>
      <x:c r="Q9" s="297"/>
      <x:c r="R9" s="301"/>
      <x:c r="S9" s="302"/>
      <x:c r="T9" s="302"/>
      <x:c r="U9" s="303" t="str">
        <x:f>IF(OR(S9="",T9=""),"",IF(T9&lt;=S9,"Yes","No"))</x:f>
      </x:c>
      <x:c r="V9" s="297"/>
      <x:c r="W9" s="297"/>
      <x:c r="X9" s="297"/>
      <x:c r="Y9" s="297"/>
      <x:c r="Z9" s="297"/>
    </x:row>
    <x:row r="10">
      <x:c r="A10" s="297"/>
      <x:c r="B10" s="298"/>
      <x:c r="C10" s="297"/>
      <x:c r="D10" s="297"/>
      <x:c r="E10" s="297"/>
      <x:c r="F10" s="297"/>
      <x:c r="G10" s="297"/>
      <x:c r="H10" s="299"/>
      <x:c r="I10" s="299"/>
      <x:c r="J10" s="297"/>
      <x:c r="K10" s="300"/>
      <x:c r="L10" s="297"/>
      <x:c r="M10" s="301"/>
      <x:c r="N10" s="297"/>
      <x:c r="O10" s="301"/>
      <x:c r="P10" s="297"/>
      <x:c r="Q10" s="297"/>
      <x:c r="R10" s="301"/>
      <x:c r="S10" s="302"/>
      <x:c r="T10" s="302"/>
      <x:c r="U10" s="303" t="str">
        <x:f>IF(OR(S10="",T10=""),"",IF(T10&lt;=S10,"Yes","No"))</x:f>
      </x:c>
      <x:c r="V10" s="297"/>
      <x:c r="W10" s="297"/>
      <x:c r="X10" s="297"/>
      <x:c r="Y10" s="297"/>
      <x:c r="Z10" s="297"/>
    </x:row>
    <x:row r="11">
      <x:c r="A11" s="297"/>
      <x:c r="B11" s="298"/>
      <x:c r="C11" s="297"/>
      <x:c r="D11" s="297"/>
      <x:c r="E11" s="297"/>
      <x:c r="F11" s="297"/>
      <x:c r="G11" s="297"/>
      <x:c r="H11" s="299"/>
      <x:c r="I11" s="299"/>
      <x:c r="J11" s="297"/>
      <x:c r="K11" s="300"/>
      <x:c r="L11" s="297"/>
      <x:c r="M11" s="301"/>
      <x:c r="N11" s="297"/>
      <x:c r="O11" s="301"/>
      <x:c r="P11" s="297"/>
      <x:c r="Q11" s="297"/>
      <x:c r="R11" s="301"/>
      <x:c r="S11" s="302"/>
      <x:c r="T11" s="302"/>
      <x:c r="U11" s="303" t="str">
        <x:f>IF(OR(S11="",T11=""),"",IF(T11&lt;=S11,"Yes","No"))</x:f>
      </x:c>
      <x:c r="V11" s="297"/>
      <x:c r="W11" s="297"/>
      <x:c r="X11" s="297"/>
      <x:c r="Y11" s="297"/>
      <x:c r="Z11" s="297"/>
    </x:row>
    <x:row r="12">
      <x:c r="A12" s="297"/>
      <x:c r="B12" s="298"/>
      <x:c r="C12" s="297"/>
      <x:c r="D12" s="297"/>
      <x:c r="E12" s="297"/>
      <x:c r="F12" s="297"/>
      <x:c r="G12" s="297"/>
      <x:c r="H12" s="299"/>
      <x:c r="I12" s="299"/>
      <x:c r="J12" s="297"/>
      <x:c r="K12" s="300"/>
      <x:c r="L12" s="297"/>
      <x:c r="M12" s="301"/>
      <x:c r="N12" s="297"/>
      <x:c r="O12" s="301"/>
      <x:c r="P12" s="297"/>
      <x:c r="Q12" s="297"/>
      <x:c r="R12" s="301"/>
      <x:c r="S12" s="302"/>
      <x:c r="T12" s="302"/>
      <x:c r="U12" s="303" t="str">
        <x:f>IF(OR(S12="",T12=""),"",IF(T12&lt;=S12,"Yes","No"))</x:f>
      </x:c>
      <x:c r="V12" s="297"/>
      <x:c r="W12" s="297"/>
      <x:c r="X12" s="297"/>
      <x:c r="Y12" s="297"/>
      <x:c r="Z12" s="297"/>
    </x:row>
    <x:row r="13">
      <x:c r="A13" s="297"/>
      <x:c r="B13" s="298"/>
      <x:c r="C13" s="297"/>
      <x:c r="D13" s="297"/>
      <x:c r="E13" s="297"/>
      <x:c r="F13" s="297"/>
      <x:c r="G13" s="297"/>
      <x:c r="H13" s="299"/>
      <x:c r="I13" s="299"/>
      <x:c r="J13" s="297"/>
      <x:c r="K13" s="300"/>
      <x:c r="L13" s="297"/>
      <x:c r="M13" s="301"/>
      <x:c r="N13" s="297"/>
      <x:c r="O13" s="301"/>
      <x:c r="P13" s="297"/>
      <x:c r="Q13" s="297"/>
      <x:c r="R13" s="301"/>
      <x:c r="S13" s="302"/>
      <x:c r="T13" s="302"/>
      <x:c r="U13" s="303" t="str">
        <x:f>IF(OR(S13="",T13=""),"",IF(T13&lt;=S13,"Yes","No"))</x:f>
      </x:c>
      <x:c r="V13" s="297"/>
      <x:c r="W13" s="297"/>
      <x:c r="X13" s="297"/>
      <x:c r="Y13" s="297"/>
      <x:c r="Z13" s="297"/>
    </x:row>
    <x:row r="14">
      <x:c r="A14" s="297"/>
      <x:c r="B14" s="298"/>
      <x:c r="C14" s="297"/>
      <x:c r="D14" s="297"/>
      <x:c r="E14" s="297"/>
      <x:c r="F14" s="297"/>
      <x:c r="G14" s="297"/>
      <x:c r="H14" s="299"/>
      <x:c r="I14" s="299"/>
      <x:c r="J14" s="297"/>
      <x:c r="K14" s="300"/>
      <x:c r="L14" s="297"/>
      <x:c r="M14" s="301"/>
      <x:c r="N14" s="297"/>
      <x:c r="O14" s="301"/>
      <x:c r="P14" s="297"/>
      <x:c r="Q14" s="297"/>
      <x:c r="R14" s="301"/>
      <x:c r="S14" s="302"/>
      <x:c r="T14" s="302"/>
      <x:c r="U14" s="303" t="str">
        <x:f>IF(OR(S14="",T14=""),"",IF(T14&lt;=S14,"Yes","No"))</x:f>
      </x:c>
      <x:c r="V14" s="297"/>
      <x:c r="W14" s="297"/>
      <x:c r="X14" s="297"/>
      <x:c r="Y14" s="297"/>
      <x:c r="Z14" s="297"/>
    </x:row>
    <x:row r="15">
      <x:c r="A15" s="297"/>
      <x:c r="B15" s="298"/>
      <x:c r="C15" s="297"/>
      <x:c r="D15" s="297"/>
      <x:c r="E15" s="297"/>
      <x:c r="F15" s="297"/>
      <x:c r="G15" s="297"/>
      <x:c r="H15" s="299"/>
      <x:c r="I15" s="299"/>
      <x:c r="J15" s="297"/>
      <x:c r="K15" s="300"/>
      <x:c r="L15" s="297"/>
      <x:c r="M15" s="301"/>
      <x:c r="N15" s="297"/>
      <x:c r="O15" s="301"/>
      <x:c r="P15" s="297"/>
      <x:c r="Q15" s="297"/>
      <x:c r="R15" s="301"/>
      <x:c r="S15" s="302"/>
      <x:c r="T15" s="302"/>
      <x:c r="U15" s="303" t="str">
        <x:f>IF(OR(S15="",T15=""),"",IF(T15&lt;=S15,"Yes","No"))</x:f>
      </x:c>
      <x:c r="V15" s="297"/>
      <x:c r="W15" s="297"/>
      <x:c r="X15" s="297"/>
      <x:c r="Y15" s="297"/>
      <x:c r="Z15" s="297"/>
    </x:row>
    <x:row r="16">
      <x:c r="A16" s="297"/>
      <x:c r="B16" s="298"/>
      <x:c r="C16" s="297"/>
      <x:c r="D16" s="297"/>
      <x:c r="E16" s="297"/>
      <x:c r="F16" s="297"/>
      <x:c r="G16" s="297"/>
      <x:c r="H16" s="299"/>
      <x:c r="I16" s="299"/>
      <x:c r="J16" s="297"/>
      <x:c r="K16" s="300"/>
      <x:c r="L16" s="297"/>
      <x:c r="M16" s="301"/>
      <x:c r="N16" s="297"/>
      <x:c r="O16" s="301"/>
      <x:c r="P16" s="297"/>
      <x:c r="Q16" s="297"/>
      <x:c r="R16" s="301"/>
      <x:c r="S16" s="302"/>
      <x:c r="T16" s="302"/>
      <x:c r="U16" s="303" t="str">
        <x:f>IF(OR(S16="",T16=""),"",IF(T16&lt;=S16,"Yes","No"))</x:f>
      </x:c>
      <x:c r="V16" s="297"/>
      <x:c r="W16" s="297"/>
      <x:c r="X16" s="297"/>
      <x:c r="Y16" s="297"/>
      <x:c r="Z16" s="297"/>
    </x:row>
    <x:row r="17">
      <x:c r="A17" s="297"/>
      <x:c r="B17" s="298"/>
      <x:c r="C17" s="297"/>
      <x:c r="D17" s="297"/>
      <x:c r="E17" s="297"/>
      <x:c r="F17" s="297"/>
      <x:c r="G17" s="297"/>
      <x:c r="H17" s="299"/>
      <x:c r="I17" s="299"/>
      <x:c r="J17" s="297"/>
      <x:c r="K17" s="300"/>
      <x:c r="L17" s="297"/>
      <x:c r="M17" s="301"/>
      <x:c r="N17" s="297"/>
      <x:c r="O17" s="301"/>
      <x:c r="P17" s="297"/>
      <x:c r="Q17" s="297"/>
      <x:c r="R17" s="301"/>
      <x:c r="S17" s="302"/>
      <x:c r="T17" s="302"/>
      <x:c r="U17" s="303" t="str">
        <x:f>IF(OR(S17="",T17=""),"",IF(T17&lt;=S17,"Yes","No"))</x:f>
      </x:c>
      <x:c r="V17" s="297"/>
      <x:c r="W17" s="297"/>
      <x:c r="X17" s="297"/>
      <x:c r="Y17" s="297"/>
      <x:c r="Z17" s="297"/>
    </x:row>
    <x:row r="18">
      <x:c r="A18" s="297"/>
      <x:c r="B18" s="298"/>
      <x:c r="C18" s="297"/>
      <x:c r="D18" s="297"/>
      <x:c r="E18" s="297"/>
      <x:c r="F18" s="297"/>
      <x:c r="G18" s="297"/>
      <x:c r="H18" s="299"/>
      <x:c r="I18" s="299"/>
      <x:c r="J18" s="297"/>
      <x:c r="K18" s="300"/>
      <x:c r="L18" s="297"/>
      <x:c r="M18" s="301"/>
      <x:c r="N18" s="297"/>
      <x:c r="O18" s="301"/>
      <x:c r="P18" s="297"/>
      <x:c r="Q18" s="297"/>
      <x:c r="R18" s="301"/>
      <x:c r="S18" s="302"/>
      <x:c r="T18" s="302"/>
      <x:c r="U18" s="303" t="str">
        <x:f>IF(OR(S18="",T18=""),"",IF(T18&lt;=S18,"Yes","No"))</x:f>
      </x:c>
      <x:c r="V18" s="297"/>
      <x:c r="W18" s="297"/>
      <x:c r="X18" s="297"/>
      <x:c r="Y18" s="297"/>
      <x:c r="Z18" s="297"/>
    </x:row>
    <x:row r="19">
      <x:c r="A19" s="297"/>
      <x:c r="B19" s="298"/>
      <x:c r="C19" s="297"/>
      <x:c r="D19" s="297"/>
      <x:c r="E19" s="297"/>
      <x:c r="F19" s="297"/>
      <x:c r="G19" s="297"/>
      <x:c r="H19" s="299"/>
      <x:c r="I19" s="299"/>
      <x:c r="J19" s="297"/>
      <x:c r="K19" s="300"/>
      <x:c r="L19" s="297"/>
      <x:c r="M19" s="301"/>
      <x:c r="N19" s="297"/>
      <x:c r="O19" s="301"/>
      <x:c r="P19" s="297"/>
      <x:c r="Q19" s="297"/>
      <x:c r="R19" s="301"/>
      <x:c r="S19" s="302"/>
      <x:c r="T19" s="302"/>
      <x:c r="U19" s="303" t="str">
        <x:f>IF(OR(S19="",T19=""),"",IF(T19&lt;=S19,"Yes","No"))</x:f>
      </x:c>
      <x:c r="V19" s="297"/>
      <x:c r="W19" s="297"/>
      <x:c r="X19" s="297"/>
      <x:c r="Y19" s="297"/>
      <x:c r="Z19" s="297"/>
    </x:row>
    <x:row r="20">
      <x:c r="A20" s="297"/>
      <x:c r="B20" s="298"/>
      <x:c r="C20" s="297"/>
      <x:c r="D20" s="297"/>
      <x:c r="E20" s="297"/>
      <x:c r="F20" s="297"/>
      <x:c r="G20" s="297"/>
      <x:c r="H20" s="299"/>
      <x:c r="I20" s="299"/>
      <x:c r="J20" s="297"/>
      <x:c r="K20" s="300"/>
      <x:c r="L20" s="297"/>
      <x:c r="M20" s="301"/>
      <x:c r="N20" s="297"/>
      <x:c r="O20" s="301"/>
      <x:c r="P20" s="297"/>
      <x:c r="Q20" s="297"/>
      <x:c r="R20" s="301"/>
      <x:c r="S20" s="302"/>
      <x:c r="T20" s="302"/>
      <x:c r="U20" s="303" t="str">
        <x:f>IF(OR(S20="",T20=""),"",IF(T20&lt;=S20,"Yes","No"))</x:f>
      </x:c>
      <x:c r="V20" s="297"/>
      <x:c r="W20" s="297"/>
      <x:c r="X20" s="297"/>
      <x:c r="Y20" s="297"/>
      <x:c r="Z20" s="297"/>
    </x:row>
    <x:row r="21">
      <x:c r="A21" s="297"/>
      <x:c r="B21" s="298"/>
      <x:c r="C21" s="297"/>
      <x:c r="D21" s="297"/>
      <x:c r="E21" s="297"/>
      <x:c r="F21" s="297"/>
      <x:c r="G21" s="297"/>
      <x:c r="H21" s="299"/>
      <x:c r="I21" s="299"/>
      <x:c r="J21" s="297"/>
      <x:c r="K21" s="300"/>
      <x:c r="L21" s="297"/>
      <x:c r="M21" s="301"/>
      <x:c r="N21" s="297"/>
      <x:c r="O21" s="301"/>
      <x:c r="P21" s="297"/>
      <x:c r="Q21" s="297"/>
      <x:c r="R21" s="301"/>
      <x:c r="S21" s="302"/>
      <x:c r="T21" s="302"/>
      <x:c r="U21" s="303" t="str">
        <x:f>IF(OR(S21="",T21=""),"",IF(T21&lt;=S21,"Yes","No"))</x:f>
      </x:c>
      <x:c r="V21" s="297"/>
      <x:c r="W21" s="297"/>
      <x:c r="X21" s="297"/>
      <x:c r="Y21" s="297"/>
      <x:c r="Z21" s="297"/>
    </x:row>
    <x:row r="22">
      <x:c r="A22" s="297"/>
      <x:c r="B22" s="298"/>
      <x:c r="C22" s="297"/>
      <x:c r="D22" s="297"/>
      <x:c r="E22" s="297"/>
      <x:c r="F22" s="297"/>
      <x:c r="G22" s="297"/>
      <x:c r="H22" s="299"/>
      <x:c r="I22" s="299"/>
      <x:c r="J22" s="297"/>
      <x:c r="K22" s="300"/>
      <x:c r="L22" s="297"/>
      <x:c r="M22" s="301"/>
      <x:c r="N22" s="297"/>
      <x:c r="O22" s="301"/>
      <x:c r="P22" s="297"/>
      <x:c r="Q22" s="297"/>
      <x:c r="R22" s="301"/>
      <x:c r="S22" s="302"/>
      <x:c r="T22" s="302"/>
      <x:c r="U22" s="303" t="str">
        <x:f>IF(OR(S22="",T22=""),"",IF(T22&lt;=S22,"Yes","No"))</x:f>
      </x:c>
      <x:c r="V22" s="297"/>
      <x:c r="W22" s="297"/>
      <x:c r="X22" s="297"/>
      <x:c r="Y22" s="297"/>
      <x:c r="Z22" s="297"/>
    </x:row>
    <x:row r="23">
      <x:c r="A23" s="297"/>
      <x:c r="B23" s="298"/>
      <x:c r="C23" s="297"/>
      <x:c r="D23" s="297"/>
      <x:c r="E23" s="297"/>
      <x:c r="F23" s="297"/>
      <x:c r="G23" s="297"/>
      <x:c r="H23" s="299"/>
      <x:c r="I23" s="299"/>
      <x:c r="J23" s="297"/>
      <x:c r="K23" s="300"/>
      <x:c r="L23" s="297"/>
      <x:c r="M23" s="301"/>
      <x:c r="N23" s="297"/>
      <x:c r="O23" s="301"/>
      <x:c r="P23" s="297"/>
      <x:c r="Q23" s="297"/>
      <x:c r="R23" s="301"/>
      <x:c r="S23" s="302"/>
      <x:c r="T23" s="302"/>
      <x:c r="U23" s="303" t="str">
        <x:f>IF(OR(S23="",T23=""),"",IF(T23&lt;=S23,"Yes","No"))</x:f>
      </x:c>
      <x:c r="V23" s="297"/>
      <x:c r="W23" s="297"/>
      <x:c r="X23" s="297"/>
      <x:c r="Y23" s="297"/>
      <x:c r="Z23" s="297"/>
    </x:row>
    <x:row r="24">
      <x:c r="A24" s="297"/>
      <x:c r="B24" s="298"/>
      <x:c r="C24" s="297"/>
      <x:c r="D24" s="297"/>
      <x:c r="E24" s="297"/>
      <x:c r="F24" s="297"/>
      <x:c r="G24" s="297"/>
      <x:c r="H24" s="299"/>
      <x:c r="I24" s="299"/>
      <x:c r="J24" s="297"/>
      <x:c r="K24" s="300"/>
      <x:c r="L24" s="297"/>
      <x:c r="M24" s="301"/>
      <x:c r="N24" s="297"/>
      <x:c r="O24" s="301"/>
      <x:c r="P24" s="297"/>
      <x:c r="Q24" s="297"/>
      <x:c r="R24" s="301"/>
      <x:c r="S24" s="302"/>
      <x:c r="T24" s="302"/>
      <x:c r="U24" s="303" t="str">
        <x:f>IF(OR(S24="",T24=""),"",IF(T24&lt;=S24,"Yes","No"))</x:f>
      </x:c>
      <x:c r="V24" s="297"/>
      <x:c r="W24" s="297"/>
      <x:c r="X24" s="297"/>
      <x:c r="Y24" s="297"/>
      <x:c r="Z24" s="297"/>
    </x:row>
    <x:row r="25">
      <x:c r="A25" s="297"/>
      <x:c r="B25" s="298"/>
      <x:c r="C25" s="297"/>
      <x:c r="D25" s="297"/>
      <x:c r="E25" s="297"/>
      <x:c r="F25" s="297"/>
      <x:c r="G25" s="297"/>
      <x:c r="H25" s="299"/>
      <x:c r="I25" s="299"/>
      <x:c r="J25" s="297"/>
      <x:c r="K25" s="300"/>
      <x:c r="L25" s="297"/>
      <x:c r="M25" s="301"/>
      <x:c r="N25" s="297"/>
      <x:c r="O25" s="301"/>
      <x:c r="P25" s="297"/>
      <x:c r="Q25" s="297"/>
      <x:c r="R25" s="301"/>
      <x:c r="S25" s="302"/>
      <x:c r="T25" s="302"/>
      <x:c r="U25" s="303" t="str">
        <x:f>IF(OR(S25="",T25=""),"",IF(T25&lt;=S25,"Yes","No"))</x:f>
      </x:c>
      <x:c r="V25" s="297"/>
      <x:c r="W25" s="297"/>
      <x:c r="X25" s="297"/>
      <x:c r="Y25" s="297"/>
      <x:c r="Z25" s="297"/>
    </x:row>
    <x:row r="26">
      <x:c r="A26" s="297"/>
      <x:c r="B26" s="298"/>
      <x:c r="C26" s="297"/>
      <x:c r="D26" s="297"/>
      <x:c r="E26" s="297"/>
      <x:c r="F26" s="297"/>
      <x:c r="G26" s="297"/>
      <x:c r="H26" s="299"/>
      <x:c r="I26" s="299"/>
      <x:c r="J26" s="297"/>
      <x:c r="K26" s="300"/>
      <x:c r="L26" s="297"/>
      <x:c r="M26" s="301"/>
      <x:c r="N26" s="297"/>
      <x:c r="O26" s="301"/>
      <x:c r="P26" s="297"/>
      <x:c r="Q26" s="297"/>
      <x:c r="R26" s="301"/>
      <x:c r="S26" s="302"/>
      <x:c r="T26" s="302"/>
      <x:c r="U26" s="303" t="str">
        <x:f>IF(OR(S26="",T26=""),"",IF(T26&lt;=S26,"Yes","No"))</x:f>
      </x:c>
      <x:c r="V26" s="297"/>
      <x:c r="W26" s="297"/>
      <x:c r="X26" s="297"/>
      <x:c r="Y26" s="297"/>
      <x:c r="Z26" s="297"/>
    </x:row>
    <x:row r="27">
      <x:c r="A27" s="297"/>
      <x:c r="B27" s="298"/>
      <x:c r="C27" s="297"/>
      <x:c r="D27" s="297"/>
      <x:c r="E27" s="297"/>
      <x:c r="F27" s="297"/>
      <x:c r="G27" s="297"/>
      <x:c r="H27" s="299"/>
      <x:c r="I27" s="299"/>
      <x:c r="J27" s="297"/>
      <x:c r="K27" s="300"/>
      <x:c r="L27" s="297"/>
      <x:c r="M27" s="301"/>
      <x:c r="N27" s="297"/>
      <x:c r="O27" s="301"/>
      <x:c r="P27" s="297"/>
      <x:c r="Q27" s="297"/>
      <x:c r="R27" s="301"/>
      <x:c r="S27" s="302"/>
      <x:c r="T27" s="302"/>
      <x:c r="U27" s="303" t="str">
        <x:f>IF(OR(S27="",T27=""),"",IF(T27&lt;=S27,"Yes","No"))</x:f>
      </x:c>
      <x:c r="V27" s="297"/>
      <x:c r="W27" s="297"/>
      <x:c r="X27" s="297"/>
      <x:c r="Y27" s="297"/>
      <x:c r="Z27" s="297"/>
    </x:row>
    <x:row r="28">
      <x:c r="A28" s="297"/>
      <x:c r="B28" s="298"/>
      <x:c r="C28" s="297"/>
      <x:c r="D28" s="297"/>
      <x:c r="E28" s="297"/>
      <x:c r="F28" s="297"/>
      <x:c r="G28" s="297"/>
      <x:c r="H28" s="299"/>
      <x:c r="I28" s="299"/>
      <x:c r="J28" s="297"/>
      <x:c r="K28" s="300"/>
      <x:c r="L28" s="297"/>
      <x:c r="M28" s="301"/>
      <x:c r="N28" s="297"/>
      <x:c r="O28" s="301"/>
      <x:c r="P28" s="297"/>
      <x:c r="Q28" s="297"/>
      <x:c r="R28" s="301"/>
      <x:c r="S28" s="302"/>
      <x:c r="T28" s="302"/>
      <x:c r="U28" s="303" t="str">
        <x:f>IF(OR(S28="",T28=""),"",IF(T28&lt;=S28,"Yes","No"))</x:f>
      </x:c>
      <x:c r="V28" s="297"/>
      <x:c r="W28" s="297"/>
      <x:c r="X28" s="297"/>
      <x:c r="Y28" s="297"/>
      <x:c r="Z28" s="297"/>
    </x:row>
    <x:row r="29">
      <x:c r="A29" s="297"/>
      <x:c r="B29" s="298"/>
      <x:c r="C29" s="297"/>
      <x:c r="D29" s="297"/>
      <x:c r="E29" s="297"/>
      <x:c r="F29" s="297"/>
      <x:c r="G29" s="297"/>
      <x:c r="H29" s="299"/>
      <x:c r="I29" s="299"/>
      <x:c r="J29" s="297"/>
      <x:c r="K29" s="300"/>
      <x:c r="L29" s="297"/>
      <x:c r="M29" s="301"/>
      <x:c r="N29" s="297"/>
      <x:c r="O29" s="301"/>
      <x:c r="P29" s="297"/>
      <x:c r="Q29" s="297"/>
      <x:c r="R29" s="301"/>
      <x:c r="S29" s="302"/>
      <x:c r="T29" s="302"/>
      <x:c r="U29" s="303" t="str">
        <x:f>IF(OR(S29="",T29=""),"",IF(T29&lt;=S29,"Yes","No"))</x:f>
      </x:c>
      <x:c r="V29" s="297"/>
      <x:c r="W29" s="297"/>
      <x:c r="X29" s="297"/>
      <x:c r="Y29" s="297"/>
      <x:c r="Z29" s="297"/>
    </x:row>
    <x:row r="30">
      <x:c r="A30" s="297"/>
      <x:c r="B30" s="298"/>
      <x:c r="C30" s="297"/>
      <x:c r="D30" s="297"/>
      <x:c r="E30" s="297"/>
      <x:c r="F30" s="297"/>
      <x:c r="G30" s="297"/>
      <x:c r="H30" s="299"/>
      <x:c r="I30" s="299"/>
      <x:c r="J30" s="297"/>
      <x:c r="K30" s="300"/>
      <x:c r="L30" s="297"/>
      <x:c r="M30" s="301"/>
      <x:c r="N30" s="297"/>
      <x:c r="O30" s="301"/>
      <x:c r="P30" s="297"/>
      <x:c r="Q30" s="297"/>
      <x:c r="R30" s="301"/>
      <x:c r="S30" s="302"/>
      <x:c r="T30" s="302"/>
      <x:c r="U30" s="303" t="str">
        <x:f>IF(OR(S30="",T30=""),"",IF(T30&lt;=S30,"Yes","No"))</x:f>
      </x:c>
      <x:c r="V30" s="297"/>
      <x:c r="W30" s="297"/>
      <x:c r="X30" s="297"/>
      <x:c r="Y30" s="297"/>
      <x:c r="Z30" s="297"/>
    </x:row>
    <x:row r="31">
      <x:c r="A31" s="297"/>
      <x:c r="B31" s="298"/>
      <x:c r="C31" s="297"/>
      <x:c r="D31" s="297"/>
      <x:c r="E31" s="297"/>
      <x:c r="F31" s="297"/>
      <x:c r="G31" s="297"/>
      <x:c r="H31" s="299"/>
      <x:c r="I31" s="299"/>
      <x:c r="J31" s="297"/>
      <x:c r="K31" s="300"/>
      <x:c r="L31" s="297"/>
      <x:c r="M31" s="301"/>
      <x:c r="N31" s="297"/>
      <x:c r="O31" s="301"/>
      <x:c r="P31" s="297"/>
      <x:c r="Q31" s="297"/>
      <x:c r="R31" s="301"/>
      <x:c r="S31" s="302"/>
      <x:c r="T31" s="302"/>
      <x:c r="U31" s="303" t="str">
        <x:f>IF(OR(S31="",T31=""),"",IF(T31&lt;=S31,"Yes","No"))</x:f>
      </x:c>
      <x:c r="V31" s="297"/>
      <x:c r="W31" s="297"/>
      <x:c r="X31" s="297"/>
      <x:c r="Y31" s="297"/>
      <x:c r="Z31" s="297"/>
    </x:row>
    <x:row r="32">
      <x:c r="A32" s="297"/>
      <x:c r="B32" s="298"/>
      <x:c r="C32" s="297"/>
      <x:c r="D32" s="297"/>
      <x:c r="E32" s="297"/>
      <x:c r="F32" s="297"/>
      <x:c r="G32" s="297"/>
      <x:c r="H32" s="299"/>
      <x:c r="I32" s="299"/>
      <x:c r="J32" s="297"/>
      <x:c r="K32" s="300"/>
      <x:c r="L32" s="297"/>
      <x:c r="M32" s="301"/>
      <x:c r="N32" s="297"/>
      <x:c r="O32" s="301"/>
      <x:c r="P32" s="297"/>
      <x:c r="Q32" s="297"/>
      <x:c r="R32" s="301"/>
      <x:c r="S32" s="302"/>
      <x:c r="T32" s="302"/>
      <x:c r="U32" s="303" t="str">
        <x:f>IF(OR(S32="",T32=""),"",IF(T32&lt;=S32,"Yes","No"))</x:f>
      </x:c>
      <x:c r="V32" s="297"/>
      <x:c r="W32" s="297"/>
      <x:c r="X32" s="297"/>
      <x:c r="Y32" s="297"/>
      <x:c r="Z32" s="297"/>
    </x:row>
    <x:row r="33">
      <x:c r="A33" s="297"/>
      <x:c r="B33" s="298"/>
      <x:c r="C33" s="297"/>
      <x:c r="D33" s="297"/>
      <x:c r="E33" s="297"/>
      <x:c r="F33" s="297"/>
      <x:c r="G33" s="297"/>
      <x:c r="H33" s="299"/>
      <x:c r="I33" s="299"/>
      <x:c r="J33" s="297"/>
      <x:c r="K33" s="300"/>
      <x:c r="L33" s="297"/>
      <x:c r="M33" s="301"/>
      <x:c r="N33" s="297"/>
      <x:c r="O33" s="301"/>
      <x:c r="P33" s="297"/>
      <x:c r="Q33" s="297"/>
      <x:c r="R33" s="301"/>
      <x:c r="S33" s="302"/>
      <x:c r="T33" s="302"/>
      <x:c r="U33" s="303" t="str">
        <x:f>IF(OR(S33="",T33=""),"",IF(T33&lt;=S33,"Yes","No"))</x:f>
      </x:c>
      <x:c r="V33" s="297"/>
      <x:c r="W33" s="297"/>
      <x:c r="X33" s="297"/>
      <x:c r="Y33" s="297"/>
      <x:c r="Z33" s="297"/>
    </x:row>
    <x:row r="34">
      <x:c r="A34" s="297"/>
      <x:c r="B34" s="298"/>
      <x:c r="C34" s="297"/>
      <x:c r="D34" s="297"/>
      <x:c r="E34" s="297"/>
      <x:c r="F34" s="297"/>
      <x:c r="G34" s="297"/>
      <x:c r="H34" s="299"/>
      <x:c r="I34" s="299"/>
      <x:c r="J34" s="297"/>
      <x:c r="K34" s="300"/>
      <x:c r="L34" s="297"/>
      <x:c r="M34" s="301"/>
      <x:c r="N34" s="297"/>
      <x:c r="O34" s="301"/>
      <x:c r="P34" s="297"/>
      <x:c r="Q34" s="297"/>
      <x:c r="R34" s="301"/>
      <x:c r="S34" s="302"/>
      <x:c r="T34" s="302"/>
      <x:c r="U34" s="303" t="str">
        <x:f>IF(OR(S34="",T34=""),"",IF(T34&lt;=S34,"Yes","No"))</x:f>
      </x:c>
      <x:c r="V34" s="297"/>
      <x:c r="W34" s="297"/>
      <x:c r="X34" s="297"/>
      <x:c r="Y34" s="297"/>
      <x:c r="Z34" s="297"/>
    </x:row>
    <x:row r="35">
      <x:c r="A35" s="297"/>
      <x:c r="B35" s="298"/>
      <x:c r="C35" s="297"/>
      <x:c r="D35" s="297"/>
      <x:c r="E35" s="297"/>
      <x:c r="F35" s="297"/>
      <x:c r="G35" s="297"/>
      <x:c r="H35" s="299"/>
      <x:c r="I35" s="299"/>
      <x:c r="J35" s="297"/>
      <x:c r="K35" s="300"/>
      <x:c r="L35" s="297"/>
      <x:c r="M35" s="301"/>
      <x:c r="N35" s="297"/>
      <x:c r="O35" s="301"/>
      <x:c r="P35" s="297"/>
      <x:c r="Q35" s="297"/>
      <x:c r="R35" s="301"/>
      <x:c r="S35" s="302"/>
      <x:c r="T35" s="302"/>
      <x:c r="U35" s="303" t="str">
        <x:f>IF(OR(S35="",T35=""),"",IF(T35&lt;=S35,"Yes","No"))</x:f>
      </x:c>
      <x:c r="V35" s="297"/>
      <x:c r="W35" s="297"/>
      <x:c r="X35" s="297"/>
      <x:c r="Y35" s="297"/>
      <x:c r="Z35" s="297"/>
    </x:row>
    <x:row r="36">
      <x:c r="A36" s="297"/>
      <x:c r="B36" s="298"/>
      <x:c r="C36" s="297"/>
      <x:c r="D36" s="297"/>
      <x:c r="E36" s="297"/>
      <x:c r="F36" s="297"/>
      <x:c r="G36" s="297"/>
      <x:c r="H36" s="299"/>
      <x:c r="I36" s="299"/>
      <x:c r="J36" s="297"/>
      <x:c r="K36" s="300"/>
      <x:c r="L36" s="297"/>
      <x:c r="M36" s="301"/>
      <x:c r="N36" s="297"/>
      <x:c r="O36" s="301"/>
      <x:c r="P36" s="297"/>
      <x:c r="Q36" s="297"/>
      <x:c r="R36" s="301"/>
      <x:c r="S36" s="302"/>
      <x:c r="T36" s="302"/>
      <x:c r="U36" s="303" t="str">
        <x:f>IF(OR(S36="",T36=""),"",IF(T36&lt;=S36,"Yes","No"))</x:f>
      </x:c>
      <x:c r="V36" s="297"/>
      <x:c r="W36" s="297"/>
      <x:c r="X36" s="297"/>
      <x:c r="Y36" s="297"/>
      <x:c r="Z36" s="297"/>
    </x:row>
    <x:row r="37">
      <x:c r="A37" s="297"/>
      <x:c r="B37" s="298"/>
      <x:c r="C37" s="297"/>
      <x:c r="D37" s="297"/>
      <x:c r="E37" s="297"/>
      <x:c r="F37" s="297"/>
      <x:c r="G37" s="297"/>
      <x:c r="H37" s="299"/>
      <x:c r="I37" s="299"/>
      <x:c r="J37" s="297"/>
      <x:c r="K37" s="300"/>
      <x:c r="L37" s="297"/>
      <x:c r="M37" s="301"/>
      <x:c r="N37" s="297"/>
      <x:c r="O37" s="301"/>
      <x:c r="P37" s="297"/>
      <x:c r="Q37" s="297"/>
      <x:c r="R37" s="301"/>
      <x:c r="S37" s="302"/>
      <x:c r="T37" s="302"/>
      <x:c r="U37" s="303" t="str">
        <x:f>IF(OR(S37="",T37=""),"",IF(T37&lt;=S37,"Yes","No"))</x:f>
      </x:c>
      <x:c r="V37" s="297"/>
      <x:c r="W37" s="297"/>
      <x:c r="X37" s="297"/>
      <x:c r="Y37" s="297"/>
      <x:c r="Z37" s="297"/>
    </x:row>
    <x:row r="38">
      <x:c r="A38" s="297"/>
      <x:c r="B38" s="298"/>
      <x:c r="C38" s="297"/>
      <x:c r="D38" s="297"/>
      <x:c r="E38" s="297"/>
      <x:c r="F38" s="297"/>
      <x:c r="G38" s="297"/>
      <x:c r="H38" s="299"/>
      <x:c r="I38" s="299"/>
      <x:c r="J38" s="297"/>
      <x:c r="K38" s="300"/>
      <x:c r="L38" s="297"/>
      <x:c r="M38" s="301"/>
      <x:c r="N38" s="297"/>
      <x:c r="O38" s="301"/>
      <x:c r="P38" s="297"/>
      <x:c r="Q38" s="297"/>
      <x:c r="R38" s="301"/>
      <x:c r="S38" s="302"/>
      <x:c r="T38" s="302"/>
      <x:c r="U38" s="303" t="str">
        <x:f>IF(OR(S38="",T38=""),"",IF(T38&lt;=S38,"Yes","No"))</x:f>
      </x:c>
      <x:c r="V38" s="297"/>
      <x:c r="W38" s="297"/>
      <x:c r="X38" s="297"/>
      <x:c r="Y38" s="297"/>
      <x:c r="Z38" s="297"/>
    </x:row>
    <x:row r="39">
      <x:c r="A39" s="297"/>
      <x:c r="B39" s="298"/>
      <x:c r="C39" s="297"/>
      <x:c r="D39" s="297"/>
      <x:c r="E39" s="297"/>
      <x:c r="F39" s="297"/>
      <x:c r="G39" s="297"/>
      <x:c r="H39" s="299"/>
      <x:c r="I39" s="299"/>
      <x:c r="J39" s="297"/>
      <x:c r="K39" s="300"/>
      <x:c r="L39" s="297"/>
      <x:c r="M39" s="301"/>
      <x:c r="N39" s="297"/>
      <x:c r="O39" s="301"/>
      <x:c r="P39" s="297"/>
      <x:c r="Q39" s="297"/>
      <x:c r="R39" s="301"/>
      <x:c r="S39" s="302"/>
      <x:c r="T39" s="302"/>
      <x:c r="U39" s="303" t="str">
        <x:f>IF(OR(S39="",T39=""),"",IF(T39&lt;=S39,"Yes","No"))</x:f>
      </x:c>
      <x:c r="V39" s="297"/>
      <x:c r="W39" s="297"/>
      <x:c r="X39" s="297"/>
      <x:c r="Y39" s="297"/>
      <x:c r="Z39" s="297"/>
    </x:row>
    <x:row r="40">
      <x:c r="A40" s="297"/>
      <x:c r="B40" s="298"/>
      <x:c r="C40" s="297"/>
      <x:c r="D40" s="297"/>
      <x:c r="E40" s="297"/>
      <x:c r="F40" s="297"/>
      <x:c r="G40" s="297"/>
      <x:c r="H40" s="299"/>
      <x:c r="I40" s="299"/>
      <x:c r="J40" s="297"/>
      <x:c r="K40" s="300"/>
      <x:c r="L40" s="297"/>
      <x:c r="M40" s="301"/>
      <x:c r="N40" s="297"/>
      <x:c r="O40" s="301"/>
      <x:c r="P40" s="297"/>
      <x:c r="Q40" s="297"/>
      <x:c r="R40" s="301"/>
      <x:c r="S40" s="302"/>
      <x:c r="T40" s="302"/>
      <x:c r="U40" s="303" t="str">
        <x:f>IF(OR(S40="",T40=""),"",IF(T40&lt;=S40,"Yes","No"))</x:f>
      </x:c>
      <x:c r="V40" s="297"/>
      <x:c r="W40" s="297"/>
      <x:c r="X40" s="297"/>
      <x:c r="Y40" s="297"/>
      <x:c r="Z40" s="297"/>
    </x:row>
    <x:row r="41">
      <x:c r="A41" s="297"/>
      <x:c r="B41" s="298"/>
      <x:c r="C41" s="297"/>
      <x:c r="D41" s="297"/>
      <x:c r="E41" s="297"/>
      <x:c r="F41" s="297"/>
      <x:c r="G41" s="297"/>
      <x:c r="H41" s="299"/>
      <x:c r="I41" s="299"/>
      <x:c r="J41" s="297"/>
      <x:c r="K41" s="300"/>
      <x:c r="L41" s="297"/>
      <x:c r="M41" s="301"/>
      <x:c r="N41" s="297"/>
      <x:c r="O41" s="301"/>
      <x:c r="P41" s="297"/>
      <x:c r="Q41" s="297"/>
      <x:c r="R41" s="301"/>
      <x:c r="S41" s="302"/>
      <x:c r="T41" s="302"/>
      <x:c r="U41" s="303" t="str">
        <x:f>IF(OR(S41="",T41=""),"",IF(T41&lt;=S41,"Yes","No"))</x:f>
      </x:c>
      <x:c r="V41" s="297"/>
      <x:c r="W41" s="297"/>
      <x:c r="X41" s="297"/>
      <x:c r="Y41" s="297"/>
      <x:c r="Z41" s="297"/>
    </x:row>
    <x:row r="42">
      <x:c r="A42" s="297"/>
      <x:c r="B42" s="298"/>
      <x:c r="C42" s="297"/>
      <x:c r="D42" s="297"/>
      <x:c r="E42" s="297"/>
      <x:c r="F42" s="297"/>
      <x:c r="G42" s="297"/>
      <x:c r="H42" s="299"/>
      <x:c r="I42" s="299"/>
      <x:c r="J42" s="297"/>
      <x:c r="K42" s="300"/>
      <x:c r="L42" s="297"/>
      <x:c r="M42" s="301"/>
      <x:c r="N42" s="297"/>
      <x:c r="O42" s="301"/>
      <x:c r="P42" s="297"/>
      <x:c r="Q42" s="297"/>
      <x:c r="R42" s="301"/>
      <x:c r="S42" s="302"/>
      <x:c r="T42" s="302"/>
      <x:c r="U42" s="303" t="str">
        <x:f>IF(OR(S42="",T42=""),"",IF(T42&lt;=S42,"Yes","No"))</x:f>
      </x:c>
      <x:c r="V42" s="297"/>
      <x:c r="W42" s="297"/>
      <x:c r="X42" s="297"/>
      <x:c r="Y42" s="297"/>
      <x:c r="Z42" s="297"/>
    </x:row>
    <x:row r="43">
      <x:c r="A43" s="297"/>
      <x:c r="B43" s="298"/>
      <x:c r="C43" s="297"/>
      <x:c r="D43" s="297"/>
      <x:c r="E43" s="297"/>
      <x:c r="F43" s="297"/>
      <x:c r="G43" s="297"/>
      <x:c r="H43" s="299"/>
      <x:c r="I43" s="299"/>
      <x:c r="J43" s="297"/>
      <x:c r="K43" s="300"/>
      <x:c r="L43" s="297"/>
      <x:c r="M43" s="301"/>
      <x:c r="N43" s="297"/>
      <x:c r="O43" s="301"/>
      <x:c r="P43" s="297"/>
      <x:c r="Q43" s="297"/>
      <x:c r="R43" s="301"/>
      <x:c r="S43" s="302"/>
      <x:c r="T43" s="302"/>
      <x:c r="U43" s="303" t="str">
        <x:f>IF(OR(S43="",T43=""),"",IF(T43&lt;=S43,"Yes","No"))</x:f>
      </x:c>
      <x:c r="V43" s="297"/>
      <x:c r="W43" s="297"/>
      <x:c r="X43" s="297"/>
      <x:c r="Y43" s="297"/>
      <x:c r="Z43" s="297"/>
    </x:row>
    <x:row r="44">
      <x:c r="A44" s="297"/>
      <x:c r="B44" s="298"/>
      <x:c r="C44" s="297"/>
      <x:c r="D44" s="297"/>
      <x:c r="E44" s="297"/>
      <x:c r="F44" s="297"/>
      <x:c r="G44" s="297"/>
      <x:c r="H44" s="299"/>
      <x:c r="I44" s="299"/>
      <x:c r="J44" s="297"/>
      <x:c r="K44" s="300"/>
      <x:c r="L44" s="297"/>
      <x:c r="M44" s="301"/>
      <x:c r="N44" s="297"/>
      <x:c r="O44" s="301"/>
      <x:c r="P44" s="297"/>
      <x:c r="Q44" s="297"/>
      <x:c r="R44" s="301"/>
      <x:c r="S44" s="302"/>
      <x:c r="T44" s="302"/>
      <x:c r="U44" s="303" t="str">
        <x:f>IF(OR(S44="",T44=""),"",IF(T44&lt;=S44,"Yes","No"))</x:f>
      </x:c>
      <x:c r="V44" s="297"/>
      <x:c r="W44" s="297"/>
      <x:c r="X44" s="297"/>
      <x:c r="Y44" s="297"/>
      <x:c r="Z44" s="297"/>
    </x:row>
    <x:row r="45">
      <x:c r="A45" s="297"/>
      <x:c r="B45" s="298"/>
      <x:c r="C45" s="297"/>
      <x:c r="D45" s="297"/>
      <x:c r="E45" s="297"/>
      <x:c r="F45" s="297"/>
      <x:c r="G45" s="297"/>
      <x:c r="H45" s="299"/>
      <x:c r="I45" s="299"/>
      <x:c r="J45" s="297"/>
      <x:c r="K45" s="300"/>
      <x:c r="L45" s="297"/>
      <x:c r="M45" s="301"/>
      <x:c r="N45" s="297"/>
      <x:c r="O45" s="301"/>
      <x:c r="P45" s="297"/>
      <x:c r="Q45" s="297"/>
      <x:c r="R45" s="301"/>
      <x:c r="S45" s="302"/>
      <x:c r="T45" s="302"/>
      <x:c r="U45" s="303" t="str">
        <x:f>IF(OR(S45="",T45=""),"",IF(T45&lt;=S45,"Yes","No"))</x:f>
      </x:c>
      <x:c r="V45" s="297"/>
      <x:c r="W45" s="297"/>
      <x:c r="X45" s="297"/>
      <x:c r="Y45" s="297"/>
      <x:c r="Z45" s="297"/>
    </x:row>
    <x:row r="46">
      <x:c r="A46" s="297"/>
      <x:c r="B46" s="298"/>
      <x:c r="C46" s="297"/>
      <x:c r="D46" s="297"/>
      <x:c r="E46" s="297"/>
      <x:c r="F46" s="297"/>
      <x:c r="G46" s="297"/>
      <x:c r="H46" s="299"/>
      <x:c r="I46" s="299"/>
      <x:c r="J46" s="297"/>
      <x:c r="K46" s="300"/>
      <x:c r="L46" s="297"/>
      <x:c r="M46" s="301"/>
      <x:c r="N46" s="297"/>
      <x:c r="O46" s="301"/>
      <x:c r="P46" s="297"/>
      <x:c r="Q46" s="297"/>
      <x:c r="R46" s="301"/>
      <x:c r="S46" s="302"/>
      <x:c r="T46" s="302"/>
      <x:c r="U46" s="303" t="str">
        <x:f>IF(OR(S46="",T46=""),"",IF(T46&lt;=S46,"Yes","No"))</x:f>
      </x:c>
      <x:c r="V46" s="297"/>
      <x:c r="W46" s="297"/>
      <x:c r="X46" s="297"/>
      <x:c r="Y46" s="297"/>
      <x:c r="Z46" s="297"/>
    </x:row>
    <x:row r="47">
      <x:c r="A47" s="297"/>
      <x:c r="B47" s="298"/>
      <x:c r="C47" s="297"/>
      <x:c r="D47" s="297"/>
      <x:c r="E47" s="297"/>
      <x:c r="F47" s="297"/>
      <x:c r="G47" s="297"/>
      <x:c r="H47" s="299"/>
      <x:c r="I47" s="299"/>
      <x:c r="J47" s="297"/>
      <x:c r="K47" s="300"/>
      <x:c r="L47" s="297"/>
      <x:c r="M47" s="301"/>
      <x:c r="N47" s="297"/>
      <x:c r="O47" s="301"/>
      <x:c r="P47" s="297"/>
      <x:c r="Q47" s="297"/>
      <x:c r="R47" s="301"/>
      <x:c r="S47" s="302"/>
      <x:c r="T47" s="302"/>
      <x:c r="U47" s="303" t="str">
        <x:f>IF(OR(S47="",T47=""),"",IF(T47&lt;=S47,"Yes","No"))</x:f>
      </x:c>
      <x:c r="V47" s="297"/>
      <x:c r="W47" s="297"/>
      <x:c r="X47" s="297"/>
      <x:c r="Y47" s="297"/>
      <x:c r="Z47" s="297"/>
    </x:row>
    <x:row r="48">
      <x:c r="A48" s="297"/>
      <x:c r="B48" s="298"/>
      <x:c r="C48" s="297"/>
      <x:c r="D48" s="297"/>
      <x:c r="E48" s="297"/>
      <x:c r="F48" s="297"/>
      <x:c r="G48" s="297"/>
      <x:c r="H48" s="299"/>
      <x:c r="I48" s="299"/>
      <x:c r="J48" s="297"/>
      <x:c r="K48" s="300"/>
      <x:c r="L48" s="297"/>
      <x:c r="M48" s="301"/>
      <x:c r="N48" s="297"/>
      <x:c r="O48" s="301"/>
      <x:c r="P48" s="297"/>
      <x:c r="Q48" s="297"/>
      <x:c r="R48" s="301"/>
      <x:c r="S48" s="302"/>
      <x:c r="T48" s="302"/>
      <x:c r="U48" s="303" t="str">
        <x:f>IF(OR(S48="",T48=""),"",IF(T48&lt;=S48,"Yes","No"))</x:f>
      </x:c>
      <x:c r="V48" s="297"/>
      <x:c r="W48" s="297"/>
      <x:c r="X48" s="297"/>
      <x:c r="Y48" s="297"/>
      <x:c r="Z48" s="297"/>
    </x:row>
    <x:row r="49">
      <x:c r="A49" s="297"/>
      <x:c r="B49" s="298"/>
      <x:c r="C49" s="297"/>
      <x:c r="D49" s="297"/>
      <x:c r="E49" s="297"/>
      <x:c r="F49" s="297"/>
      <x:c r="G49" s="297"/>
      <x:c r="H49" s="299"/>
      <x:c r="I49" s="299"/>
      <x:c r="J49" s="297"/>
      <x:c r="K49" s="300"/>
      <x:c r="L49" s="297"/>
      <x:c r="M49" s="301"/>
      <x:c r="N49" s="297"/>
      <x:c r="O49" s="301"/>
      <x:c r="P49" s="297"/>
      <x:c r="Q49" s="297"/>
      <x:c r="R49" s="301"/>
      <x:c r="S49" s="302"/>
      <x:c r="T49" s="302"/>
      <x:c r="U49" s="303" t="str">
        <x:f>IF(OR(S49="",T49=""),"",IF(T49&lt;=S49,"Yes","No"))</x:f>
      </x:c>
      <x:c r="V49" s="297"/>
      <x:c r="W49" s="297"/>
      <x:c r="X49" s="297"/>
      <x:c r="Y49" s="297"/>
      <x:c r="Z49" s="297"/>
    </x:row>
    <x:row r="50">
      <x:c r="A50" s="297"/>
      <x:c r="B50" s="298"/>
      <x:c r="C50" s="297"/>
      <x:c r="D50" s="297"/>
      <x:c r="E50" s="297"/>
      <x:c r="F50" s="297"/>
      <x:c r="G50" s="297"/>
      <x:c r="H50" s="299"/>
      <x:c r="I50" s="299"/>
      <x:c r="J50" s="297"/>
      <x:c r="K50" s="300"/>
      <x:c r="L50" s="297"/>
      <x:c r="M50" s="301"/>
      <x:c r="N50" s="297"/>
      <x:c r="O50" s="301"/>
      <x:c r="P50" s="297"/>
      <x:c r="Q50" s="297"/>
      <x:c r="R50" s="301"/>
      <x:c r="S50" s="302"/>
      <x:c r="T50" s="302"/>
      <x:c r="U50" s="303" t="str">
        <x:f>IF(OR(S50="",T50=""),"",IF(T50&lt;=S50,"Yes","No"))</x:f>
      </x:c>
      <x:c r="V50" s="297"/>
      <x:c r="W50" s="297"/>
      <x:c r="X50" s="297"/>
      <x:c r="Y50" s="297"/>
      <x:c r="Z50" s="297"/>
    </x:row>
    <x:row r="51">
      <x:c r="A51" s="297"/>
      <x:c r="B51" s="298"/>
      <x:c r="C51" s="297"/>
      <x:c r="D51" s="297"/>
      <x:c r="E51" s="297"/>
      <x:c r="F51" s="297"/>
      <x:c r="G51" s="297"/>
      <x:c r="H51" s="299"/>
      <x:c r="I51" s="299"/>
      <x:c r="J51" s="297"/>
      <x:c r="K51" s="300"/>
      <x:c r="L51" s="297"/>
      <x:c r="M51" s="301"/>
      <x:c r="N51" s="297"/>
      <x:c r="O51" s="301"/>
      <x:c r="P51" s="297"/>
      <x:c r="Q51" s="297"/>
      <x:c r="R51" s="301"/>
      <x:c r="S51" s="302"/>
      <x:c r="T51" s="302"/>
      <x:c r="U51" s="303" t="str">
        <x:f>IF(OR(S51="",T51=""),"",IF(T51&lt;=S51,"Yes","No"))</x:f>
      </x:c>
      <x:c r="V51" s="297"/>
      <x:c r="W51" s="297"/>
      <x:c r="X51" s="297"/>
      <x:c r="Y51" s="297"/>
      <x:c r="Z51" s="297"/>
    </x:row>
    <x:row r="52">
      <x:c r="A52" s="297"/>
      <x:c r="B52" s="298"/>
      <x:c r="C52" s="297"/>
      <x:c r="D52" s="297"/>
      <x:c r="E52" s="297"/>
      <x:c r="F52" s="297"/>
      <x:c r="G52" s="297"/>
      <x:c r="H52" s="299"/>
      <x:c r="I52" s="299"/>
      <x:c r="J52" s="297"/>
      <x:c r="K52" s="300"/>
      <x:c r="L52" s="297"/>
      <x:c r="M52" s="301"/>
      <x:c r="N52" s="297"/>
      <x:c r="O52" s="301"/>
      <x:c r="P52" s="297"/>
      <x:c r="Q52" s="297"/>
      <x:c r="R52" s="301"/>
      <x:c r="S52" s="302"/>
      <x:c r="T52" s="302"/>
      <x:c r="U52" s="303" t="str">
        <x:f>IF(OR(S52="",T52=""),"",IF(T52&lt;=S52,"Yes","No"))</x:f>
      </x:c>
      <x:c r="V52" s="297"/>
      <x:c r="W52" s="297"/>
      <x:c r="X52" s="297"/>
      <x:c r="Y52" s="297"/>
      <x:c r="Z52" s="297"/>
    </x:row>
    <x:row r="53">
      <x:c r="A53" s="297"/>
      <x:c r="B53" s="298"/>
      <x:c r="C53" s="297"/>
      <x:c r="D53" s="297"/>
      <x:c r="E53" s="297"/>
      <x:c r="F53" s="297"/>
      <x:c r="G53" s="297"/>
      <x:c r="H53" s="299"/>
      <x:c r="I53" s="299"/>
      <x:c r="J53" s="297"/>
      <x:c r="K53" s="300"/>
      <x:c r="L53" s="297"/>
      <x:c r="M53" s="301"/>
      <x:c r="N53" s="297"/>
      <x:c r="O53" s="301"/>
      <x:c r="P53" s="297"/>
      <x:c r="Q53" s="297"/>
      <x:c r="R53" s="301"/>
      <x:c r="S53" s="302"/>
      <x:c r="T53" s="302"/>
      <x:c r="U53" s="303" t="str">
        <x:f>IF(OR(S53="",T53=""),"",IF(T53&lt;=S53,"Yes","No"))</x:f>
      </x:c>
      <x:c r="V53" s="297"/>
      <x:c r="W53" s="297"/>
      <x:c r="X53" s="297"/>
      <x:c r="Y53" s="297"/>
      <x:c r="Z53" s="297"/>
    </x:row>
    <x:row r="54">
      <x:c r="A54" s="297"/>
      <x:c r="B54" s="298"/>
      <x:c r="C54" s="297"/>
      <x:c r="D54" s="297"/>
      <x:c r="E54" s="297"/>
      <x:c r="F54" s="297"/>
      <x:c r="G54" s="297"/>
      <x:c r="H54" s="299"/>
      <x:c r="I54" s="299"/>
      <x:c r="J54" s="297"/>
      <x:c r="K54" s="300"/>
      <x:c r="L54" s="297"/>
      <x:c r="M54" s="301"/>
      <x:c r="N54" s="297"/>
      <x:c r="O54" s="301"/>
      <x:c r="P54" s="297"/>
      <x:c r="Q54" s="297"/>
      <x:c r="R54" s="301"/>
      <x:c r="S54" s="302"/>
      <x:c r="T54" s="302"/>
      <x:c r="U54" s="303" t="str">
        <x:f>IF(OR(S54="",T54=""),"",IF(T54&lt;=S54,"Yes","No"))</x:f>
      </x:c>
      <x:c r="V54" s="297"/>
      <x:c r="W54" s="297"/>
      <x:c r="X54" s="297"/>
      <x:c r="Y54" s="297"/>
      <x:c r="Z54" s="297"/>
    </x:row>
    <x:row r="55">
      <x:c r="A55" s="297"/>
      <x:c r="B55" s="298"/>
      <x:c r="C55" s="297"/>
      <x:c r="D55" s="297"/>
      <x:c r="E55" s="297"/>
      <x:c r="F55" s="297"/>
      <x:c r="G55" s="297"/>
      <x:c r="H55" s="299"/>
      <x:c r="I55" s="299"/>
      <x:c r="J55" s="297"/>
      <x:c r="K55" s="300"/>
      <x:c r="L55" s="297"/>
      <x:c r="M55" s="301"/>
      <x:c r="N55" s="297"/>
      <x:c r="O55" s="301"/>
      <x:c r="P55" s="297"/>
      <x:c r="Q55" s="297"/>
      <x:c r="R55" s="301"/>
      <x:c r="S55" s="302"/>
      <x:c r="T55" s="302"/>
      <x:c r="U55" s="303" t="str">
        <x:f>IF(OR(S55="",T55=""),"",IF(T55&lt;=S55,"Yes","No"))</x:f>
      </x:c>
      <x:c r="V55" s="297"/>
      <x:c r="W55" s="297"/>
      <x:c r="X55" s="297"/>
      <x:c r="Y55" s="297"/>
      <x:c r="Z55" s="297"/>
    </x:row>
    <x:row r="56">
      <x:c r="A56" s="297"/>
      <x:c r="B56" s="298"/>
      <x:c r="C56" s="297"/>
      <x:c r="D56" s="297"/>
      <x:c r="E56" s="297"/>
      <x:c r="F56" s="297"/>
      <x:c r="G56" s="297"/>
      <x:c r="H56" s="299"/>
      <x:c r="I56" s="299"/>
      <x:c r="J56" s="297"/>
      <x:c r="K56" s="300"/>
      <x:c r="L56" s="297"/>
      <x:c r="M56" s="301"/>
      <x:c r="N56" s="297"/>
      <x:c r="O56" s="301"/>
      <x:c r="P56" s="297"/>
      <x:c r="Q56" s="297"/>
      <x:c r="R56" s="301"/>
      <x:c r="S56" s="302"/>
      <x:c r="T56" s="302"/>
      <x:c r="U56" s="303" t="str">
        <x:f>IF(OR(S56="",T56=""),"",IF(T56&lt;=S56,"Yes","No"))</x:f>
      </x:c>
      <x:c r="V56" s="297"/>
      <x:c r="W56" s="297"/>
      <x:c r="X56" s="297"/>
      <x:c r="Y56" s="297"/>
      <x:c r="Z56" s="297"/>
    </x:row>
    <x:row r="57">
      <x:c r="A57" s="297"/>
      <x:c r="B57" s="298"/>
      <x:c r="C57" s="297"/>
      <x:c r="D57" s="297"/>
      <x:c r="E57" s="297"/>
      <x:c r="F57" s="297"/>
      <x:c r="G57" s="297"/>
      <x:c r="H57" s="299"/>
      <x:c r="I57" s="299"/>
      <x:c r="J57" s="297"/>
      <x:c r="K57" s="300"/>
      <x:c r="L57" s="297"/>
      <x:c r="M57" s="301"/>
      <x:c r="N57" s="297"/>
      <x:c r="O57" s="301"/>
      <x:c r="P57" s="297"/>
      <x:c r="Q57" s="297"/>
      <x:c r="R57" s="301"/>
      <x:c r="S57" s="302"/>
      <x:c r="T57" s="302"/>
      <x:c r="U57" s="303" t="str">
        <x:f>IF(OR(S57="",T57=""),"",IF(T57&lt;=S57,"Yes","No"))</x:f>
      </x:c>
      <x:c r="V57" s="297"/>
      <x:c r="W57" s="297"/>
      <x:c r="X57" s="297"/>
      <x:c r="Y57" s="297"/>
      <x:c r="Z57" s="297"/>
    </x:row>
    <x:row r="58">
      <x:c r="A58" s="297"/>
      <x:c r="B58" s="298"/>
      <x:c r="C58" s="297"/>
      <x:c r="D58" s="297"/>
      <x:c r="E58" s="297"/>
      <x:c r="F58" s="297"/>
      <x:c r="G58" s="297"/>
      <x:c r="H58" s="299"/>
      <x:c r="I58" s="299"/>
      <x:c r="J58" s="297"/>
      <x:c r="K58" s="300"/>
      <x:c r="L58" s="297"/>
      <x:c r="M58" s="301"/>
      <x:c r="N58" s="297"/>
      <x:c r="O58" s="301"/>
      <x:c r="P58" s="297"/>
      <x:c r="Q58" s="297"/>
      <x:c r="R58" s="301"/>
      <x:c r="S58" s="302"/>
      <x:c r="T58" s="302"/>
      <x:c r="U58" s="303" t="str">
        <x:f>IF(OR(S58="",T58=""),"",IF(T58&lt;=S58,"Yes","No"))</x:f>
      </x:c>
      <x:c r="V58" s="297"/>
      <x:c r="W58" s="297"/>
      <x:c r="X58" s="297"/>
      <x:c r="Y58" s="297"/>
      <x:c r="Z58" s="297"/>
    </x:row>
    <x:row r="59">
      <x:c r="A59" s="297"/>
      <x:c r="B59" s="298"/>
      <x:c r="C59" s="297"/>
      <x:c r="D59" s="297"/>
      <x:c r="E59" s="297"/>
      <x:c r="F59" s="297"/>
      <x:c r="G59" s="297"/>
      <x:c r="H59" s="299"/>
      <x:c r="I59" s="299"/>
      <x:c r="J59" s="297"/>
      <x:c r="K59" s="300"/>
      <x:c r="L59" s="297"/>
      <x:c r="M59" s="301"/>
      <x:c r="N59" s="297"/>
      <x:c r="O59" s="301"/>
      <x:c r="P59" s="297"/>
      <x:c r="Q59" s="297"/>
      <x:c r="R59" s="301"/>
      <x:c r="S59" s="302"/>
      <x:c r="T59" s="302"/>
      <x:c r="U59" s="303" t="str">
        <x:f>IF(OR(S59="",T59=""),"",IF(T59&lt;=S59,"Yes","No"))</x:f>
      </x:c>
      <x:c r="V59" s="297"/>
      <x:c r="W59" s="297"/>
      <x:c r="X59" s="297"/>
      <x:c r="Y59" s="297"/>
      <x:c r="Z59" s="297"/>
    </x:row>
    <x:row r="60">
      <x:c r="A60" s="297"/>
      <x:c r="B60" s="298"/>
      <x:c r="C60" s="297"/>
      <x:c r="D60" s="297"/>
      <x:c r="E60" s="297"/>
      <x:c r="F60" s="297"/>
      <x:c r="G60" s="297"/>
      <x:c r="H60" s="299"/>
      <x:c r="I60" s="299"/>
      <x:c r="J60" s="297"/>
      <x:c r="K60" s="300"/>
      <x:c r="L60" s="297"/>
      <x:c r="M60" s="301"/>
      <x:c r="N60" s="297"/>
      <x:c r="O60" s="301"/>
      <x:c r="P60" s="297"/>
      <x:c r="Q60" s="297"/>
      <x:c r="R60" s="301"/>
      <x:c r="S60" s="302"/>
      <x:c r="T60" s="302"/>
      <x:c r="U60" s="303" t="str">
        <x:f>IF(OR(S60="",T60=""),"",IF(T60&lt;=S60,"Yes","No"))</x:f>
      </x:c>
      <x:c r="V60" s="297"/>
      <x:c r="W60" s="297"/>
      <x:c r="X60" s="297"/>
      <x:c r="Y60" s="297"/>
      <x:c r="Z60" s="297"/>
    </x:row>
    <x:row r="61">
      <x:c r="A61" s="297"/>
      <x:c r="B61" s="298"/>
      <x:c r="C61" s="297"/>
      <x:c r="D61" s="297"/>
      <x:c r="E61" s="297"/>
      <x:c r="F61" s="297"/>
      <x:c r="G61" s="297"/>
      <x:c r="H61" s="299"/>
      <x:c r="I61" s="299"/>
      <x:c r="J61" s="297"/>
      <x:c r="K61" s="300"/>
      <x:c r="L61" s="297"/>
      <x:c r="M61" s="301"/>
      <x:c r="N61" s="297"/>
      <x:c r="O61" s="301"/>
      <x:c r="P61" s="297"/>
      <x:c r="Q61" s="297"/>
      <x:c r="R61" s="301"/>
      <x:c r="S61" s="302"/>
      <x:c r="T61" s="302"/>
      <x:c r="U61" s="303" t="str">
        <x:f>IF(OR(S61="",T61=""),"",IF(T61&lt;=S61,"Yes","No"))</x:f>
      </x:c>
      <x:c r="V61" s="297"/>
      <x:c r="W61" s="297"/>
      <x:c r="X61" s="297"/>
      <x:c r="Y61" s="297"/>
      <x:c r="Z61" s="297"/>
    </x:row>
    <x:row r="62">
      <x:c r="A62" s="297"/>
      <x:c r="B62" s="298"/>
      <x:c r="C62" s="297"/>
      <x:c r="D62" s="297"/>
      <x:c r="E62" s="297"/>
      <x:c r="F62" s="297"/>
      <x:c r="G62" s="297"/>
      <x:c r="H62" s="299"/>
      <x:c r="I62" s="299"/>
      <x:c r="J62" s="297"/>
      <x:c r="K62" s="300"/>
      <x:c r="L62" s="297"/>
      <x:c r="M62" s="301"/>
      <x:c r="N62" s="297"/>
      <x:c r="O62" s="301"/>
      <x:c r="P62" s="297"/>
      <x:c r="Q62" s="297"/>
      <x:c r="R62" s="301"/>
      <x:c r="S62" s="302"/>
      <x:c r="T62" s="302"/>
      <x:c r="U62" s="303" t="str">
        <x:f>IF(OR(S62="",T62=""),"",IF(T62&lt;=S62,"Yes","No"))</x:f>
      </x:c>
      <x:c r="V62" s="297"/>
      <x:c r="W62" s="297"/>
      <x:c r="X62" s="297"/>
      <x:c r="Y62" s="297"/>
      <x:c r="Z62" s="297"/>
    </x:row>
    <x:row r="63">
      <x:c r="A63" s="297"/>
      <x:c r="B63" s="298"/>
      <x:c r="C63" s="297"/>
      <x:c r="D63" s="297"/>
      <x:c r="E63" s="297"/>
      <x:c r="F63" s="297"/>
      <x:c r="G63" s="297"/>
      <x:c r="H63" s="299"/>
      <x:c r="I63" s="299"/>
      <x:c r="J63" s="297"/>
      <x:c r="K63" s="300"/>
      <x:c r="L63" s="297"/>
      <x:c r="M63" s="301"/>
      <x:c r="N63" s="297"/>
      <x:c r="O63" s="301"/>
      <x:c r="P63" s="297"/>
      <x:c r="Q63" s="297"/>
      <x:c r="R63" s="301"/>
      <x:c r="S63" s="302"/>
      <x:c r="T63" s="302"/>
      <x:c r="U63" s="303" t="str">
        <x:f>IF(OR(S63="",T63=""),"",IF(T63&lt;=S63,"Yes","No"))</x:f>
      </x:c>
      <x:c r="V63" s="297"/>
      <x:c r="W63" s="297"/>
      <x:c r="X63" s="297"/>
      <x:c r="Y63" s="297"/>
      <x:c r="Z63" s="297"/>
    </x:row>
    <x:row r="64">
      <x:c r="A64" s="297"/>
      <x:c r="B64" s="298"/>
      <x:c r="C64" s="297"/>
      <x:c r="D64" s="297"/>
      <x:c r="E64" s="297"/>
      <x:c r="F64" s="297"/>
      <x:c r="G64" s="297"/>
      <x:c r="H64" s="299"/>
      <x:c r="I64" s="299"/>
      <x:c r="J64" s="297"/>
      <x:c r="K64" s="300"/>
      <x:c r="L64" s="297"/>
      <x:c r="M64" s="301"/>
      <x:c r="N64" s="297"/>
      <x:c r="O64" s="301"/>
      <x:c r="P64" s="297"/>
      <x:c r="Q64" s="297"/>
      <x:c r="R64" s="301"/>
      <x:c r="S64" s="302"/>
      <x:c r="T64" s="302"/>
      <x:c r="U64" s="303" t="str">
        <x:f>IF(OR(S64="",T64=""),"",IF(T64&lt;=S64,"Yes","No"))</x:f>
      </x:c>
      <x:c r="V64" s="297"/>
      <x:c r="W64" s="297"/>
      <x:c r="X64" s="297"/>
      <x:c r="Y64" s="297"/>
      <x:c r="Z64" s="297"/>
    </x:row>
    <x:row r="65">
      <x:c r="A65" s="297"/>
      <x:c r="B65" s="298"/>
      <x:c r="C65" s="297"/>
      <x:c r="D65" s="297"/>
      <x:c r="E65" s="297"/>
      <x:c r="F65" s="297"/>
      <x:c r="G65" s="297"/>
      <x:c r="H65" s="299"/>
      <x:c r="I65" s="299"/>
      <x:c r="J65" s="297"/>
      <x:c r="K65" s="300"/>
      <x:c r="L65" s="297"/>
      <x:c r="M65" s="301"/>
      <x:c r="N65" s="297"/>
      <x:c r="O65" s="301"/>
      <x:c r="P65" s="297"/>
      <x:c r="Q65" s="297"/>
      <x:c r="R65" s="301"/>
      <x:c r="S65" s="302"/>
      <x:c r="T65" s="302"/>
      <x:c r="U65" s="303" t="str">
        <x:f>IF(OR(S65="",T65=""),"",IF(T65&lt;=S65,"Yes","No"))</x:f>
      </x:c>
      <x:c r="V65" s="297"/>
      <x:c r="W65" s="297"/>
      <x:c r="X65" s="297"/>
      <x:c r="Y65" s="297"/>
      <x:c r="Z65" s="297"/>
    </x:row>
    <x:row r="66">
      <x:c r="A66" s="297"/>
      <x:c r="B66" s="298"/>
      <x:c r="C66" s="297"/>
      <x:c r="D66" s="297"/>
      <x:c r="E66" s="297"/>
      <x:c r="F66" s="297"/>
      <x:c r="G66" s="297"/>
      <x:c r="H66" s="299"/>
      <x:c r="I66" s="299"/>
      <x:c r="J66" s="297"/>
      <x:c r="K66" s="300"/>
      <x:c r="L66" s="297"/>
      <x:c r="M66" s="301"/>
      <x:c r="N66" s="297"/>
      <x:c r="O66" s="301"/>
      <x:c r="P66" s="297"/>
      <x:c r="Q66" s="297"/>
      <x:c r="R66" s="301"/>
      <x:c r="S66" s="302"/>
      <x:c r="T66" s="302"/>
      <x:c r="U66" s="303" t="str">
        <x:f>IF(OR(S66="",T66=""),"",IF(T66&lt;=S66,"Yes","No"))</x:f>
      </x:c>
      <x:c r="V66" s="297"/>
      <x:c r="W66" s="297"/>
      <x:c r="X66" s="297"/>
      <x:c r="Y66" s="297"/>
      <x:c r="Z66" s="297"/>
    </x:row>
    <x:row r="67">
      <x:c r="A67" s="297"/>
      <x:c r="B67" s="298"/>
      <x:c r="C67" s="297"/>
      <x:c r="D67" s="297"/>
      <x:c r="E67" s="297"/>
      <x:c r="F67" s="297"/>
      <x:c r="G67" s="297"/>
      <x:c r="H67" s="299"/>
      <x:c r="I67" s="299"/>
      <x:c r="J67" s="297"/>
      <x:c r="K67" s="300"/>
      <x:c r="L67" s="297"/>
      <x:c r="M67" s="301"/>
      <x:c r="N67" s="297"/>
      <x:c r="O67" s="301"/>
      <x:c r="P67" s="297"/>
      <x:c r="Q67" s="297"/>
      <x:c r="R67" s="301"/>
      <x:c r="S67" s="302"/>
      <x:c r="T67" s="302"/>
      <x:c r="U67" s="303" t="str">
        <x:f>IF(OR(S67="",T67=""),"",IF(T67&lt;=S67,"Yes","No"))</x:f>
      </x:c>
      <x:c r="V67" s="297"/>
      <x:c r="W67" s="297"/>
      <x:c r="X67" s="297"/>
      <x:c r="Y67" s="297"/>
      <x:c r="Z67" s="297"/>
    </x:row>
    <x:row r="68">
      <x:c r="A68" s="297"/>
      <x:c r="B68" s="298"/>
      <x:c r="C68" s="297"/>
      <x:c r="D68" s="297"/>
      <x:c r="E68" s="297"/>
      <x:c r="F68" s="297"/>
      <x:c r="G68" s="297"/>
      <x:c r="H68" s="299"/>
      <x:c r="I68" s="299"/>
      <x:c r="J68" s="297"/>
      <x:c r="K68" s="300"/>
      <x:c r="L68" s="297"/>
      <x:c r="M68" s="301"/>
      <x:c r="N68" s="297"/>
      <x:c r="O68" s="301"/>
      <x:c r="P68" s="297"/>
      <x:c r="Q68" s="297"/>
      <x:c r="R68" s="301"/>
      <x:c r="S68" s="302"/>
      <x:c r="T68" s="302"/>
      <x:c r="U68" s="303" t="str">
        <x:f>IF(OR(S68="",T68=""),"",IF(T68&lt;=S68,"Yes","No"))</x:f>
      </x:c>
      <x:c r="V68" s="297"/>
      <x:c r="W68" s="297"/>
      <x:c r="X68" s="297"/>
      <x:c r="Y68" s="297"/>
      <x:c r="Z68" s="297"/>
    </x:row>
    <x:row r="69">
      <x:c r="A69" s="297"/>
      <x:c r="B69" s="298"/>
      <x:c r="C69" s="297"/>
      <x:c r="D69" s="297"/>
      <x:c r="E69" s="297"/>
      <x:c r="F69" s="297"/>
      <x:c r="G69" s="297"/>
      <x:c r="H69" s="299"/>
      <x:c r="I69" s="299"/>
      <x:c r="J69" s="297"/>
      <x:c r="K69" s="300"/>
      <x:c r="L69" s="297"/>
      <x:c r="M69" s="301"/>
      <x:c r="N69" s="297"/>
      <x:c r="O69" s="301"/>
      <x:c r="P69" s="297"/>
      <x:c r="Q69" s="297"/>
      <x:c r="R69" s="301"/>
      <x:c r="S69" s="302"/>
      <x:c r="T69" s="302"/>
      <x:c r="U69" s="303" t="str">
        <x:f>IF(OR(S69="",T69=""),"",IF(T69&lt;=S69,"Yes","No"))</x:f>
      </x:c>
      <x:c r="V69" s="297"/>
      <x:c r="W69" s="297"/>
      <x:c r="X69" s="297"/>
      <x:c r="Y69" s="297"/>
      <x:c r="Z69" s="297"/>
    </x:row>
    <x:row r="70">
      <x:c r="A70" s="297"/>
      <x:c r="B70" s="298"/>
      <x:c r="C70" s="297"/>
      <x:c r="D70" s="297"/>
      <x:c r="E70" s="297"/>
      <x:c r="F70" s="297"/>
      <x:c r="G70" s="297"/>
      <x:c r="H70" s="299"/>
      <x:c r="I70" s="299"/>
      <x:c r="J70" s="297"/>
      <x:c r="K70" s="300"/>
      <x:c r="L70" s="297"/>
      <x:c r="M70" s="301"/>
      <x:c r="N70" s="297"/>
      <x:c r="O70" s="301"/>
      <x:c r="P70" s="297"/>
      <x:c r="Q70" s="297"/>
      <x:c r="R70" s="301"/>
      <x:c r="S70" s="302"/>
      <x:c r="T70" s="302"/>
      <x:c r="U70" s="303" t="str">
        <x:f>IF(OR(S70="",T70=""),"",IF(T70&lt;=S70,"Yes","No"))</x:f>
      </x:c>
      <x:c r="V70" s="297"/>
      <x:c r="W70" s="297"/>
      <x:c r="X70" s="297"/>
      <x:c r="Y70" s="297"/>
      <x:c r="Z70" s="297"/>
    </x:row>
    <x:row r="71">
      <x:c r="A71" s="297"/>
      <x:c r="B71" s="298"/>
      <x:c r="C71" s="297"/>
      <x:c r="D71" s="297"/>
      <x:c r="E71" s="297"/>
      <x:c r="F71" s="297"/>
      <x:c r="G71" s="297"/>
      <x:c r="H71" s="299"/>
      <x:c r="I71" s="299"/>
      <x:c r="J71" s="297"/>
      <x:c r="K71" s="300"/>
      <x:c r="L71" s="297"/>
      <x:c r="M71" s="301"/>
      <x:c r="N71" s="297"/>
      <x:c r="O71" s="301"/>
      <x:c r="P71" s="297"/>
      <x:c r="Q71" s="297"/>
      <x:c r="R71" s="301"/>
      <x:c r="S71" s="302"/>
      <x:c r="T71" s="302"/>
      <x:c r="U71" s="303" t="str">
        <x:f>IF(OR(S71="",T71=""),"",IF(T71&lt;=S71,"Yes","No"))</x:f>
      </x:c>
      <x:c r="V71" s="297"/>
      <x:c r="W71" s="297"/>
      <x:c r="X71" s="297"/>
      <x:c r="Y71" s="297"/>
      <x:c r="Z71" s="297"/>
    </x:row>
    <x:row r="72">
      <x:c r="A72" s="297"/>
      <x:c r="B72" s="298"/>
      <x:c r="C72" s="297"/>
      <x:c r="D72" s="297"/>
      <x:c r="E72" s="297"/>
      <x:c r="F72" s="297"/>
      <x:c r="G72" s="297"/>
      <x:c r="H72" s="299"/>
      <x:c r="I72" s="299"/>
      <x:c r="J72" s="297"/>
      <x:c r="K72" s="300"/>
      <x:c r="L72" s="297"/>
      <x:c r="M72" s="301"/>
      <x:c r="N72" s="297"/>
      <x:c r="O72" s="301"/>
      <x:c r="P72" s="297"/>
      <x:c r="Q72" s="297"/>
      <x:c r="R72" s="301"/>
      <x:c r="S72" s="302"/>
      <x:c r="T72" s="302"/>
      <x:c r="U72" s="303" t="str">
        <x:f>IF(OR(S72="",T72=""),"",IF(T72&lt;=S72,"Yes","No"))</x:f>
      </x:c>
      <x:c r="V72" s="297"/>
      <x:c r="W72" s="297"/>
      <x:c r="X72" s="297"/>
      <x:c r="Y72" s="297"/>
      <x:c r="Z72" s="297"/>
    </x:row>
    <x:row r="73">
      <x:c r="A73" s="297"/>
      <x:c r="B73" s="298"/>
      <x:c r="C73" s="297"/>
      <x:c r="D73" s="297"/>
      <x:c r="E73" s="297"/>
      <x:c r="F73" s="297"/>
      <x:c r="G73" s="297"/>
      <x:c r="H73" s="299"/>
      <x:c r="I73" s="299"/>
      <x:c r="J73" s="297"/>
      <x:c r="K73" s="300"/>
      <x:c r="L73" s="297"/>
      <x:c r="M73" s="301"/>
      <x:c r="N73" s="297"/>
      <x:c r="O73" s="301"/>
      <x:c r="P73" s="297"/>
      <x:c r="Q73" s="297"/>
      <x:c r="R73" s="301"/>
      <x:c r="S73" s="302"/>
      <x:c r="T73" s="302"/>
      <x:c r="U73" s="303" t="str">
        <x:f>IF(OR(S73="",T73=""),"",IF(T73&lt;=S73,"Yes","No"))</x:f>
      </x:c>
      <x:c r="V73" s="297"/>
      <x:c r="W73" s="297"/>
      <x:c r="X73" s="297"/>
      <x:c r="Y73" s="297"/>
      <x:c r="Z73" s="297"/>
    </x:row>
    <x:row r="74">
      <x:c r="A74" s="297"/>
      <x:c r="B74" s="298"/>
      <x:c r="C74" s="297"/>
      <x:c r="D74" s="297"/>
      <x:c r="E74" s="297"/>
      <x:c r="F74" s="297"/>
      <x:c r="G74" s="297"/>
      <x:c r="H74" s="299"/>
      <x:c r="I74" s="299"/>
      <x:c r="J74" s="297"/>
      <x:c r="K74" s="300"/>
      <x:c r="L74" s="297"/>
      <x:c r="M74" s="301"/>
      <x:c r="N74" s="297"/>
      <x:c r="O74" s="301"/>
      <x:c r="P74" s="297"/>
      <x:c r="Q74" s="297"/>
      <x:c r="R74" s="301"/>
      <x:c r="S74" s="302"/>
      <x:c r="T74" s="302"/>
      <x:c r="U74" s="303" t="str">
        <x:f>IF(OR(S74="",T74=""),"",IF(T74&lt;=S74,"Yes","No"))</x:f>
      </x:c>
      <x:c r="V74" s="297"/>
      <x:c r="W74" s="297"/>
      <x:c r="X74" s="297"/>
      <x:c r="Y74" s="297"/>
      <x:c r="Z74" s="297"/>
    </x:row>
    <x:row r="75">
      <x:c r="A75" s="297"/>
      <x:c r="B75" s="298"/>
      <x:c r="C75" s="297"/>
      <x:c r="D75" s="297"/>
      <x:c r="E75" s="297"/>
      <x:c r="F75" s="297"/>
      <x:c r="G75" s="297"/>
      <x:c r="H75" s="299"/>
      <x:c r="I75" s="299"/>
      <x:c r="J75" s="297"/>
      <x:c r="K75" s="300"/>
      <x:c r="L75" s="297"/>
      <x:c r="M75" s="301"/>
      <x:c r="N75" s="297"/>
      <x:c r="O75" s="301"/>
      <x:c r="P75" s="297"/>
      <x:c r="Q75" s="297"/>
      <x:c r="R75" s="301"/>
      <x:c r="S75" s="302"/>
      <x:c r="T75" s="302"/>
      <x:c r="U75" s="303" t="str">
        <x:f>IF(OR(S75="",T75=""),"",IF(T75&lt;=S75,"Yes","No"))</x:f>
      </x:c>
      <x:c r="V75" s="297"/>
      <x:c r="W75" s="297"/>
      <x:c r="X75" s="297"/>
      <x:c r="Y75" s="297"/>
      <x:c r="Z75" s="297"/>
    </x:row>
    <x:row r="76">
      <x:c r="A76" s="297"/>
      <x:c r="B76" s="298"/>
      <x:c r="C76" s="297"/>
      <x:c r="D76" s="297"/>
      <x:c r="E76" s="297"/>
      <x:c r="F76" s="297"/>
      <x:c r="G76" s="297"/>
      <x:c r="H76" s="299"/>
      <x:c r="I76" s="299"/>
      <x:c r="J76" s="297"/>
      <x:c r="K76" s="300"/>
      <x:c r="L76" s="297"/>
      <x:c r="M76" s="301"/>
      <x:c r="N76" s="297"/>
      <x:c r="O76" s="301"/>
      <x:c r="P76" s="297"/>
      <x:c r="Q76" s="297"/>
      <x:c r="R76" s="301"/>
      <x:c r="S76" s="302"/>
      <x:c r="T76" s="302"/>
      <x:c r="U76" s="303" t="str">
        <x:f>IF(OR(S76="",T76=""),"",IF(T76&lt;=S76,"Yes","No"))</x:f>
      </x:c>
      <x:c r="V76" s="297"/>
      <x:c r="W76" s="297"/>
      <x:c r="X76" s="297"/>
      <x:c r="Y76" s="297"/>
      <x:c r="Z76" s="297"/>
    </x:row>
    <x:row r="77">
      <x:c r="A77" s="297"/>
      <x:c r="B77" s="298"/>
      <x:c r="C77" s="297"/>
      <x:c r="D77" s="297"/>
      <x:c r="E77" s="297"/>
      <x:c r="F77" s="297"/>
      <x:c r="G77" s="297"/>
      <x:c r="H77" s="299"/>
      <x:c r="I77" s="299"/>
      <x:c r="J77" s="297"/>
      <x:c r="K77" s="300"/>
      <x:c r="L77" s="297"/>
      <x:c r="M77" s="301"/>
      <x:c r="N77" s="297"/>
      <x:c r="O77" s="301"/>
      <x:c r="P77" s="297"/>
      <x:c r="Q77" s="297"/>
      <x:c r="R77" s="301"/>
      <x:c r="S77" s="302"/>
      <x:c r="T77" s="302"/>
      <x:c r="U77" s="303" t="str">
        <x:f>IF(OR(S77="",T77=""),"",IF(T77&lt;=S77,"Yes","No"))</x:f>
      </x:c>
      <x:c r="V77" s="297"/>
      <x:c r="W77" s="297"/>
      <x:c r="X77" s="297"/>
      <x:c r="Y77" s="297"/>
      <x:c r="Z77" s="297"/>
    </x:row>
    <x:row r="78">
      <x:c r="A78" s="297"/>
      <x:c r="B78" s="298"/>
      <x:c r="C78" s="297"/>
      <x:c r="D78" s="297"/>
      <x:c r="E78" s="297"/>
      <x:c r="F78" s="297"/>
      <x:c r="G78" s="297"/>
      <x:c r="H78" s="299"/>
      <x:c r="I78" s="299"/>
      <x:c r="J78" s="297"/>
      <x:c r="K78" s="300"/>
      <x:c r="L78" s="297"/>
      <x:c r="M78" s="301"/>
      <x:c r="N78" s="297"/>
      <x:c r="O78" s="301"/>
      <x:c r="P78" s="297"/>
      <x:c r="Q78" s="297"/>
      <x:c r="R78" s="301"/>
      <x:c r="S78" s="302"/>
      <x:c r="T78" s="302"/>
      <x:c r="U78" s="303" t="str">
        <x:f>IF(OR(S78="",T78=""),"",IF(T78&lt;=S78,"Yes","No"))</x:f>
      </x:c>
      <x:c r="V78" s="297"/>
      <x:c r="W78" s="297"/>
      <x:c r="X78" s="297"/>
      <x:c r="Y78" s="297"/>
      <x:c r="Z78" s="297"/>
    </x:row>
    <x:row r="79">
      <x:c r="A79" s="297"/>
      <x:c r="B79" s="298"/>
      <x:c r="C79" s="297"/>
      <x:c r="D79" s="297"/>
      <x:c r="E79" s="297"/>
      <x:c r="F79" s="297"/>
      <x:c r="G79" s="297"/>
      <x:c r="H79" s="299"/>
      <x:c r="I79" s="299"/>
      <x:c r="J79" s="297"/>
      <x:c r="K79" s="300"/>
      <x:c r="L79" s="297"/>
      <x:c r="M79" s="301"/>
      <x:c r="N79" s="297"/>
      <x:c r="O79" s="301"/>
      <x:c r="P79" s="297"/>
      <x:c r="Q79" s="297"/>
      <x:c r="R79" s="301"/>
      <x:c r="S79" s="302"/>
      <x:c r="T79" s="302"/>
      <x:c r="U79" s="303" t="str">
        <x:f>IF(OR(S79="",T79=""),"",IF(T79&lt;=S79,"Yes","No"))</x:f>
      </x:c>
      <x:c r="V79" s="297"/>
      <x:c r="W79" s="297"/>
      <x:c r="X79" s="297"/>
      <x:c r="Y79" s="297"/>
      <x:c r="Z79" s="297"/>
    </x:row>
    <x:row r="80">
      <x:c r="A80" s="297"/>
      <x:c r="B80" s="298"/>
      <x:c r="C80" s="297"/>
      <x:c r="D80" s="297"/>
      <x:c r="E80" s="297"/>
      <x:c r="F80" s="297"/>
      <x:c r="G80" s="297"/>
      <x:c r="H80" s="299"/>
      <x:c r="I80" s="299"/>
      <x:c r="J80" s="297"/>
      <x:c r="K80" s="300"/>
      <x:c r="L80" s="297"/>
      <x:c r="M80" s="301"/>
      <x:c r="N80" s="297"/>
      <x:c r="O80" s="301"/>
      <x:c r="P80" s="297"/>
      <x:c r="Q80" s="297"/>
      <x:c r="R80" s="301"/>
      <x:c r="S80" s="302"/>
      <x:c r="T80" s="302"/>
      <x:c r="U80" s="303" t="str">
        <x:f>IF(OR(S80="",T80=""),"",IF(T80&lt;=S80,"Yes","No"))</x:f>
      </x:c>
      <x:c r="V80" s="297"/>
      <x:c r="W80" s="297"/>
      <x:c r="X80" s="297"/>
      <x:c r="Y80" s="297"/>
      <x:c r="Z80" s="297"/>
    </x:row>
    <x:row r="81">
      <x:c r="A81" s="297"/>
      <x:c r="B81" s="298"/>
      <x:c r="C81" s="297"/>
      <x:c r="D81" s="297"/>
      <x:c r="E81" s="297"/>
      <x:c r="F81" s="297"/>
      <x:c r="G81" s="297"/>
      <x:c r="H81" s="299"/>
      <x:c r="I81" s="299"/>
      <x:c r="J81" s="297"/>
      <x:c r="K81" s="300"/>
      <x:c r="L81" s="297"/>
      <x:c r="M81" s="301"/>
      <x:c r="N81" s="297"/>
      <x:c r="O81" s="301"/>
      <x:c r="P81" s="297"/>
      <x:c r="Q81" s="297"/>
      <x:c r="R81" s="301"/>
      <x:c r="S81" s="302"/>
      <x:c r="T81" s="302"/>
      <x:c r="U81" s="303" t="str">
        <x:f>IF(OR(S81="",T81=""),"",IF(T81&lt;=S81,"Yes","No"))</x:f>
      </x:c>
      <x:c r="V81" s="297"/>
      <x:c r="W81" s="297"/>
      <x:c r="X81" s="297"/>
      <x:c r="Y81" s="297"/>
      <x:c r="Z81" s="297"/>
    </x:row>
    <x:row r="82">
      <x:c r="A82" s="297"/>
      <x:c r="B82" s="298"/>
      <x:c r="C82" s="297"/>
      <x:c r="D82" s="297"/>
      <x:c r="E82" s="297"/>
      <x:c r="F82" s="297"/>
      <x:c r="G82" s="297"/>
      <x:c r="H82" s="299"/>
      <x:c r="I82" s="299"/>
      <x:c r="J82" s="297"/>
      <x:c r="K82" s="300"/>
      <x:c r="L82" s="297"/>
      <x:c r="M82" s="301"/>
      <x:c r="N82" s="297"/>
      <x:c r="O82" s="301"/>
      <x:c r="P82" s="297"/>
      <x:c r="Q82" s="297"/>
      <x:c r="R82" s="301"/>
      <x:c r="S82" s="302"/>
      <x:c r="T82" s="302"/>
      <x:c r="U82" s="303" t="str">
        <x:f>IF(OR(S82="",T82=""),"",IF(T82&lt;=S82,"Yes","No"))</x:f>
      </x:c>
      <x:c r="V82" s="297"/>
      <x:c r="W82" s="297"/>
      <x:c r="X82" s="297"/>
      <x:c r="Y82" s="297"/>
      <x:c r="Z82" s="297"/>
    </x:row>
    <x:row r="83">
      <x:c r="A83" s="297"/>
      <x:c r="B83" s="298"/>
      <x:c r="C83" s="297"/>
      <x:c r="D83" s="297"/>
      <x:c r="E83" s="297"/>
      <x:c r="F83" s="297"/>
      <x:c r="G83" s="297"/>
      <x:c r="H83" s="299"/>
      <x:c r="I83" s="299"/>
      <x:c r="J83" s="297"/>
      <x:c r="K83" s="300"/>
      <x:c r="L83" s="297"/>
      <x:c r="M83" s="301"/>
      <x:c r="N83" s="297"/>
      <x:c r="O83" s="301"/>
      <x:c r="P83" s="297"/>
      <x:c r="Q83" s="297"/>
      <x:c r="R83" s="301"/>
      <x:c r="S83" s="302"/>
      <x:c r="T83" s="302"/>
      <x:c r="U83" s="303" t="str">
        <x:f>IF(OR(S83="",T83=""),"",IF(T83&lt;=S83,"Yes","No"))</x:f>
      </x:c>
      <x:c r="V83" s="297"/>
      <x:c r="W83" s="297"/>
      <x:c r="X83" s="297"/>
      <x:c r="Y83" s="297"/>
      <x:c r="Z83" s="297"/>
    </x:row>
    <x:row r="84">
      <x:c r="A84" s="297"/>
      <x:c r="B84" s="298"/>
      <x:c r="C84" s="297"/>
      <x:c r="D84" s="297"/>
      <x:c r="E84" s="297"/>
      <x:c r="F84" s="297"/>
      <x:c r="G84" s="297"/>
      <x:c r="H84" s="299"/>
      <x:c r="I84" s="299"/>
      <x:c r="J84" s="297"/>
      <x:c r="K84" s="300"/>
      <x:c r="L84" s="297"/>
      <x:c r="M84" s="301"/>
      <x:c r="N84" s="297"/>
      <x:c r="O84" s="301"/>
      <x:c r="P84" s="297"/>
      <x:c r="Q84" s="297"/>
      <x:c r="R84" s="301"/>
      <x:c r="S84" s="302"/>
      <x:c r="T84" s="302"/>
      <x:c r="U84" s="303" t="str">
        <x:f>IF(OR(S84="",T84=""),"",IF(T84&lt;=S84,"Yes","No"))</x:f>
      </x:c>
      <x:c r="V84" s="297"/>
      <x:c r="W84" s="297"/>
      <x:c r="X84" s="297"/>
      <x:c r="Y84" s="297"/>
      <x:c r="Z84" s="297"/>
    </x:row>
    <x:row r="85">
      <x:c r="A85" s="297"/>
      <x:c r="B85" s="298"/>
      <x:c r="C85" s="297"/>
      <x:c r="D85" s="297"/>
      <x:c r="E85" s="297"/>
      <x:c r="F85" s="297"/>
      <x:c r="G85" s="297"/>
      <x:c r="H85" s="299"/>
      <x:c r="I85" s="299"/>
      <x:c r="J85" s="297"/>
      <x:c r="K85" s="300"/>
      <x:c r="L85" s="297"/>
      <x:c r="M85" s="301"/>
      <x:c r="N85" s="297"/>
      <x:c r="O85" s="301"/>
      <x:c r="P85" s="297"/>
      <x:c r="Q85" s="297"/>
      <x:c r="R85" s="301"/>
      <x:c r="S85" s="302"/>
      <x:c r="T85" s="302"/>
      <x:c r="U85" s="303" t="str">
        <x:f>IF(OR(S85="",T85=""),"",IF(T85&lt;=S85,"Yes","No"))</x:f>
      </x:c>
      <x:c r="V85" s="297"/>
      <x:c r="W85" s="297"/>
      <x:c r="X85" s="297"/>
      <x:c r="Y85" s="297"/>
      <x:c r="Z85" s="297"/>
    </x:row>
    <x:row r="86">
      <x:c r="A86" s="297"/>
      <x:c r="B86" s="298"/>
      <x:c r="C86" s="297"/>
      <x:c r="D86" s="297"/>
      <x:c r="E86" s="297"/>
      <x:c r="F86" s="297"/>
      <x:c r="G86" s="297"/>
      <x:c r="H86" s="299"/>
      <x:c r="I86" s="299"/>
      <x:c r="J86" s="297"/>
      <x:c r="K86" s="300"/>
      <x:c r="L86" s="297"/>
      <x:c r="M86" s="301"/>
      <x:c r="N86" s="297"/>
      <x:c r="O86" s="301"/>
      <x:c r="P86" s="297"/>
      <x:c r="Q86" s="297"/>
      <x:c r="R86" s="301"/>
      <x:c r="S86" s="302"/>
      <x:c r="T86" s="302"/>
      <x:c r="U86" s="303" t="str">
        <x:f>IF(OR(S86="",T86=""),"",IF(T86&lt;=S86,"Yes","No"))</x:f>
      </x:c>
      <x:c r="V86" s="297"/>
      <x:c r="W86" s="297"/>
      <x:c r="X86" s="297"/>
      <x:c r="Y86" s="297"/>
      <x:c r="Z86" s="297"/>
    </x:row>
    <x:row r="87">
      <x:c r="A87" s="297"/>
      <x:c r="B87" s="298"/>
      <x:c r="C87" s="297"/>
      <x:c r="D87" s="297"/>
      <x:c r="E87" s="297"/>
      <x:c r="F87" s="297"/>
      <x:c r="G87" s="297"/>
      <x:c r="H87" s="299"/>
      <x:c r="I87" s="299"/>
      <x:c r="J87" s="297"/>
      <x:c r="K87" s="300"/>
      <x:c r="L87" s="297"/>
      <x:c r="M87" s="301"/>
      <x:c r="N87" s="297"/>
      <x:c r="O87" s="301"/>
      <x:c r="P87" s="297"/>
      <x:c r="Q87" s="297"/>
      <x:c r="R87" s="301"/>
      <x:c r="S87" s="302"/>
      <x:c r="T87" s="302"/>
      <x:c r="U87" s="303" t="str">
        <x:f>IF(OR(S87="",T87=""),"",IF(T87&lt;=S87,"Yes","No"))</x:f>
      </x:c>
      <x:c r="V87" s="297"/>
      <x:c r="W87" s="297"/>
      <x:c r="X87" s="297"/>
      <x:c r="Y87" s="297"/>
      <x:c r="Z87" s="297"/>
    </x:row>
    <x:row r="88">
      <x:c r="A88" s="297"/>
      <x:c r="B88" s="298"/>
      <x:c r="C88" s="297"/>
      <x:c r="D88" s="297"/>
      <x:c r="E88" s="297"/>
      <x:c r="F88" s="297"/>
      <x:c r="G88" s="297"/>
      <x:c r="H88" s="299"/>
      <x:c r="I88" s="299"/>
      <x:c r="J88" s="297"/>
      <x:c r="K88" s="300"/>
      <x:c r="L88" s="297"/>
      <x:c r="M88" s="301"/>
      <x:c r="N88" s="297"/>
      <x:c r="O88" s="301"/>
      <x:c r="P88" s="297"/>
      <x:c r="Q88" s="297"/>
      <x:c r="R88" s="301"/>
      <x:c r="S88" s="302"/>
      <x:c r="T88" s="302"/>
      <x:c r="U88" s="303" t="str">
        <x:f>IF(OR(S88="",T88=""),"",IF(T88&lt;=S88,"Yes","No"))</x:f>
      </x:c>
      <x:c r="V88" s="297"/>
      <x:c r="W88" s="297"/>
      <x:c r="X88" s="297"/>
      <x:c r="Y88" s="297"/>
      <x:c r="Z88" s="297"/>
    </x:row>
    <x:row r="89">
      <x:c r="A89" s="297"/>
      <x:c r="B89" s="298"/>
      <x:c r="C89" s="297"/>
      <x:c r="D89" s="297"/>
      <x:c r="E89" s="297"/>
      <x:c r="F89" s="297"/>
      <x:c r="G89" s="297"/>
      <x:c r="H89" s="299"/>
      <x:c r="I89" s="299"/>
      <x:c r="J89" s="297"/>
      <x:c r="K89" s="300"/>
      <x:c r="L89" s="297"/>
      <x:c r="M89" s="301"/>
      <x:c r="N89" s="297"/>
      <x:c r="O89" s="301"/>
      <x:c r="P89" s="297"/>
      <x:c r="Q89" s="297"/>
      <x:c r="R89" s="301"/>
      <x:c r="S89" s="302"/>
      <x:c r="T89" s="302"/>
      <x:c r="U89" s="303" t="str">
        <x:f>IF(OR(S89="",T89=""),"",IF(T89&lt;=S89,"Yes","No"))</x:f>
      </x:c>
      <x:c r="V89" s="297"/>
      <x:c r="W89" s="297"/>
      <x:c r="X89" s="297"/>
      <x:c r="Y89" s="297"/>
      <x:c r="Z89" s="297"/>
    </x:row>
    <x:row r="90">
      <x:c r="A90" s="297"/>
      <x:c r="B90" s="298"/>
      <x:c r="C90" s="297"/>
      <x:c r="D90" s="297"/>
      <x:c r="E90" s="297"/>
      <x:c r="F90" s="297"/>
      <x:c r="G90" s="297"/>
      <x:c r="H90" s="299"/>
      <x:c r="I90" s="299"/>
      <x:c r="J90" s="297"/>
      <x:c r="K90" s="300"/>
      <x:c r="L90" s="297"/>
      <x:c r="M90" s="301"/>
      <x:c r="N90" s="297"/>
      <x:c r="O90" s="301"/>
      <x:c r="P90" s="297"/>
      <x:c r="Q90" s="297"/>
      <x:c r="R90" s="301"/>
      <x:c r="S90" s="302"/>
      <x:c r="T90" s="302"/>
      <x:c r="U90" s="303" t="str">
        <x:f>IF(OR(S90="",T90=""),"",IF(T90&lt;=S90,"Yes","No"))</x:f>
      </x:c>
      <x:c r="V90" s="297"/>
      <x:c r="W90" s="297"/>
      <x:c r="X90" s="297"/>
      <x:c r="Y90" s="297"/>
      <x:c r="Z90" s="297"/>
    </x:row>
    <x:row r="91">
      <x:c r="A91" s="297"/>
      <x:c r="B91" s="298"/>
      <x:c r="C91" s="297"/>
      <x:c r="D91" s="297"/>
      <x:c r="E91" s="297"/>
      <x:c r="F91" s="297"/>
      <x:c r="G91" s="297"/>
      <x:c r="H91" s="299"/>
      <x:c r="I91" s="299"/>
      <x:c r="J91" s="297"/>
      <x:c r="K91" s="300"/>
      <x:c r="L91" s="297"/>
      <x:c r="M91" s="301"/>
      <x:c r="N91" s="297"/>
      <x:c r="O91" s="301"/>
      <x:c r="P91" s="297"/>
      <x:c r="Q91" s="297"/>
      <x:c r="R91" s="301"/>
      <x:c r="S91" s="302"/>
      <x:c r="T91" s="302"/>
      <x:c r="U91" s="303" t="str">
        <x:f>IF(OR(S91="",T91=""),"",IF(T91&lt;=S91,"Yes","No"))</x:f>
      </x:c>
      <x:c r="V91" s="297"/>
      <x:c r="W91" s="297"/>
      <x:c r="X91" s="297"/>
      <x:c r="Y91" s="297"/>
      <x:c r="Z91" s="297"/>
    </x:row>
    <x:row r="92">
      <x:c r="A92" s="297"/>
      <x:c r="B92" s="298"/>
      <x:c r="C92" s="297"/>
      <x:c r="D92" s="297"/>
      <x:c r="E92" s="297"/>
      <x:c r="F92" s="297"/>
      <x:c r="G92" s="297"/>
      <x:c r="H92" s="299"/>
      <x:c r="I92" s="299"/>
      <x:c r="J92" s="297"/>
      <x:c r="K92" s="300"/>
      <x:c r="L92" s="297"/>
      <x:c r="M92" s="301"/>
      <x:c r="N92" s="297"/>
      <x:c r="O92" s="301"/>
      <x:c r="P92" s="297"/>
      <x:c r="Q92" s="297"/>
      <x:c r="R92" s="301"/>
      <x:c r="S92" s="302"/>
      <x:c r="T92" s="302"/>
      <x:c r="U92" s="303" t="str">
        <x:f>IF(OR(S92="",T92=""),"",IF(T92&lt;=S92,"Yes","No"))</x:f>
      </x:c>
      <x:c r="V92" s="297"/>
      <x:c r="W92" s="297"/>
      <x:c r="X92" s="297"/>
      <x:c r="Y92" s="297"/>
      <x:c r="Z92" s="297"/>
    </x:row>
    <x:row r="93">
      <x:c r="A93" s="297"/>
      <x:c r="B93" s="298"/>
      <x:c r="C93" s="297"/>
      <x:c r="D93" s="297"/>
      <x:c r="E93" s="297"/>
      <x:c r="F93" s="297"/>
      <x:c r="G93" s="297"/>
      <x:c r="H93" s="299"/>
      <x:c r="I93" s="299"/>
      <x:c r="J93" s="297"/>
      <x:c r="K93" s="300"/>
      <x:c r="L93" s="297"/>
      <x:c r="M93" s="301"/>
      <x:c r="N93" s="297"/>
      <x:c r="O93" s="301"/>
      <x:c r="P93" s="297"/>
      <x:c r="Q93" s="297"/>
      <x:c r="R93" s="301"/>
      <x:c r="S93" s="302"/>
      <x:c r="T93" s="302"/>
      <x:c r="U93" s="303" t="str">
        <x:f>IF(OR(S93="",T93=""),"",IF(T93&lt;=S93,"Yes","No"))</x:f>
      </x:c>
      <x:c r="V93" s="297"/>
      <x:c r="W93" s="297"/>
      <x:c r="X93" s="297"/>
      <x:c r="Y93" s="297"/>
      <x:c r="Z93" s="297"/>
    </x:row>
    <x:row r="94">
      <x:c r="A94" s="297"/>
      <x:c r="B94" s="298"/>
      <x:c r="C94" s="297"/>
      <x:c r="D94" s="297"/>
      <x:c r="E94" s="297"/>
      <x:c r="F94" s="297"/>
      <x:c r="G94" s="297"/>
      <x:c r="H94" s="299"/>
      <x:c r="I94" s="299"/>
      <x:c r="J94" s="297"/>
      <x:c r="K94" s="300"/>
      <x:c r="L94" s="297"/>
      <x:c r="M94" s="301"/>
      <x:c r="N94" s="297"/>
      <x:c r="O94" s="301"/>
      <x:c r="P94" s="297"/>
      <x:c r="Q94" s="297"/>
      <x:c r="R94" s="301"/>
      <x:c r="S94" s="302"/>
      <x:c r="T94" s="302"/>
      <x:c r="U94" s="303" t="str">
        <x:f>IF(OR(S94="",T94=""),"",IF(T94&lt;=S94,"Yes","No"))</x:f>
      </x:c>
      <x:c r="V94" s="297"/>
      <x:c r="W94" s="297"/>
      <x:c r="X94" s="297"/>
      <x:c r="Y94" s="297"/>
      <x:c r="Z94" s="297"/>
    </x:row>
    <x:row r="95">
      <x:c r="A95" s="297"/>
      <x:c r="B95" s="298"/>
      <x:c r="C95" s="297"/>
      <x:c r="D95" s="297"/>
      <x:c r="E95" s="297"/>
      <x:c r="F95" s="297"/>
      <x:c r="G95" s="297"/>
      <x:c r="H95" s="299"/>
      <x:c r="I95" s="299"/>
      <x:c r="J95" s="297"/>
      <x:c r="K95" s="300"/>
      <x:c r="L95" s="297"/>
      <x:c r="M95" s="301"/>
      <x:c r="N95" s="297"/>
      <x:c r="O95" s="301"/>
      <x:c r="P95" s="297"/>
      <x:c r="Q95" s="297"/>
      <x:c r="R95" s="301"/>
      <x:c r="S95" s="302"/>
      <x:c r="T95" s="302"/>
      <x:c r="U95" s="303" t="str">
        <x:f>IF(OR(S95="",T95=""),"",IF(T95&lt;=S95,"Yes","No"))</x:f>
      </x:c>
      <x:c r="V95" s="297"/>
      <x:c r="W95" s="297"/>
      <x:c r="X95" s="297"/>
      <x:c r="Y95" s="297"/>
      <x:c r="Z95" s="297"/>
    </x:row>
    <x:row r="96">
      <x:c r="A96" s="297"/>
      <x:c r="B96" s="298"/>
      <x:c r="C96" s="297"/>
      <x:c r="D96" s="297"/>
      <x:c r="E96" s="297"/>
      <x:c r="F96" s="297"/>
      <x:c r="G96" s="297"/>
      <x:c r="H96" s="299"/>
      <x:c r="I96" s="299"/>
      <x:c r="J96" s="297"/>
      <x:c r="K96" s="300"/>
      <x:c r="L96" s="297"/>
      <x:c r="M96" s="301"/>
      <x:c r="N96" s="297"/>
      <x:c r="O96" s="301"/>
      <x:c r="P96" s="297"/>
      <x:c r="Q96" s="297"/>
      <x:c r="R96" s="301"/>
      <x:c r="S96" s="302"/>
      <x:c r="T96" s="302"/>
      <x:c r="U96" s="303" t="str">
        <x:f>IF(OR(S96="",T96=""),"",IF(T96&lt;=S96,"Yes","No"))</x:f>
      </x:c>
      <x:c r="V96" s="297"/>
      <x:c r="W96" s="297"/>
      <x:c r="X96" s="297"/>
      <x:c r="Y96" s="297"/>
      <x:c r="Z96" s="297"/>
    </x:row>
    <x:row r="97">
      <x:c r="A97" s="297"/>
      <x:c r="B97" s="298"/>
      <x:c r="C97" s="297"/>
      <x:c r="D97" s="297"/>
      <x:c r="E97" s="297"/>
      <x:c r="F97" s="297"/>
      <x:c r="G97" s="297"/>
      <x:c r="H97" s="299"/>
      <x:c r="I97" s="299"/>
      <x:c r="J97" s="297"/>
      <x:c r="K97" s="300"/>
      <x:c r="L97" s="297"/>
      <x:c r="M97" s="301"/>
      <x:c r="N97" s="297"/>
      <x:c r="O97" s="301"/>
      <x:c r="P97" s="297"/>
      <x:c r="Q97" s="297"/>
      <x:c r="R97" s="301"/>
      <x:c r="S97" s="302"/>
      <x:c r="T97" s="302"/>
      <x:c r="U97" s="303" t="str">
        <x:f>IF(OR(S97="",T97=""),"",IF(T97&lt;=S97,"Yes","No"))</x:f>
      </x:c>
      <x:c r="V97" s="297"/>
      <x:c r="W97" s="297"/>
      <x:c r="X97" s="297"/>
      <x:c r="Y97" s="297"/>
      <x:c r="Z97" s="297"/>
    </x:row>
    <x:row r="98">
      <x:c r="A98" s="297"/>
      <x:c r="B98" s="298"/>
      <x:c r="C98" s="297"/>
      <x:c r="D98" s="297"/>
      <x:c r="E98" s="297"/>
      <x:c r="F98" s="297"/>
      <x:c r="G98" s="297"/>
      <x:c r="H98" s="299"/>
      <x:c r="I98" s="299"/>
      <x:c r="J98" s="297"/>
      <x:c r="K98" s="300"/>
      <x:c r="L98" s="297"/>
      <x:c r="M98" s="301"/>
      <x:c r="N98" s="297"/>
      <x:c r="O98" s="301"/>
      <x:c r="P98" s="297"/>
      <x:c r="Q98" s="297"/>
      <x:c r="R98" s="301"/>
      <x:c r="S98" s="302"/>
      <x:c r="T98" s="302"/>
      <x:c r="U98" s="303" t="str">
        <x:f>IF(OR(S98="",T98=""),"",IF(T98&lt;=S98,"Yes","No"))</x:f>
      </x:c>
      <x:c r="V98" s="297"/>
      <x:c r="W98" s="297"/>
      <x:c r="X98" s="297"/>
      <x:c r="Y98" s="297"/>
      <x:c r="Z98" s="297"/>
    </x:row>
    <x:row r="99">
      <x:c r="A99" s="297"/>
      <x:c r="B99" s="298"/>
      <x:c r="C99" s="297"/>
      <x:c r="D99" s="297"/>
      <x:c r="E99" s="297"/>
      <x:c r="F99" s="297"/>
      <x:c r="G99" s="297"/>
      <x:c r="H99" s="299"/>
      <x:c r="I99" s="299"/>
      <x:c r="J99" s="297"/>
      <x:c r="K99" s="300"/>
      <x:c r="L99" s="297"/>
      <x:c r="M99" s="301"/>
      <x:c r="N99" s="297"/>
      <x:c r="O99" s="301"/>
      <x:c r="P99" s="297"/>
      <x:c r="Q99" s="297"/>
      <x:c r="R99" s="301"/>
      <x:c r="S99" s="302"/>
      <x:c r="T99" s="302"/>
      <x:c r="U99" s="303" t="str">
        <x:f>IF(OR(S99="",T99=""),"",IF(T99&lt;=S99,"Yes","No"))</x:f>
      </x:c>
      <x:c r="V99" s="297"/>
      <x:c r="W99" s="297"/>
      <x:c r="X99" s="297"/>
      <x:c r="Y99" s="297"/>
      <x:c r="Z99" s="297"/>
    </x:row>
    <x:row r="100">
      <x:c r="A100" s="297"/>
      <x:c r="B100" s="298"/>
      <x:c r="C100" s="297"/>
      <x:c r="D100" s="297"/>
      <x:c r="E100" s="297"/>
      <x:c r="F100" s="297"/>
      <x:c r="G100" s="297"/>
      <x:c r="H100" s="299"/>
      <x:c r="I100" s="299"/>
      <x:c r="J100" s="297"/>
      <x:c r="K100" s="300"/>
      <x:c r="L100" s="297"/>
      <x:c r="M100" s="301"/>
      <x:c r="N100" s="297"/>
      <x:c r="O100" s="301"/>
      <x:c r="P100" s="297"/>
      <x:c r="Q100" s="297"/>
      <x:c r="R100" s="301"/>
      <x:c r="S100" s="302"/>
      <x:c r="T100" s="302"/>
      <x:c r="U100" s="303" t="str">
        <x:f>IF(OR(S100="",T100=""),"",IF(T100&lt;=S100,"Yes","No"))</x:f>
      </x:c>
      <x:c r="V100" s="297"/>
      <x:c r="W100" s="297"/>
      <x:c r="X100" s="297"/>
      <x:c r="Y100" s="297"/>
      <x:c r="Z100" s="297"/>
    </x:row>
    <x:row r="101">
      <x:c r="A101" s="297"/>
      <x:c r="B101" s="298"/>
      <x:c r="C101" s="297"/>
      <x:c r="D101" s="297"/>
      <x:c r="E101" s="297"/>
      <x:c r="F101" s="297"/>
      <x:c r="G101" s="297"/>
      <x:c r="H101" s="299"/>
      <x:c r="I101" s="299"/>
      <x:c r="J101" s="297"/>
      <x:c r="K101" s="300"/>
      <x:c r="L101" s="297"/>
      <x:c r="M101" s="301"/>
      <x:c r="N101" s="297"/>
      <x:c r="O101" s="301"/>
      <x:c r="P101" s="297"/>
      <x:c r="Q101" s="297"/>
      <x:c r="R101" s="301"/>
      <x:c r="S101" s="302"/>
      <x:c r="T101" s="302"/>
      <x:c r="U101" s="303" t="str">
        <x:f>IF(OR(S101="",T101=""),"",IF(T101&lt;=S101,"Yes","No"))</x:f>
      </x:c>
      <x:c r="V101" s="297"/>
      <x:c r="W101" s="297"/>
      <x:c r="X101" s="297"/>
      <x:c r="Y101" s="297"/>
      <x:c r="Z101" s="297"/>
    </x:row>
    <x:row r="102">
      <x:c r="A102" s="297"/>
      <x:c r="B102" s="298"/>
      <x:c r="C102" s="297"/>
      <x:c r="D102" s="297"/>
      <x:c r="E102" s="297"/>
      <x:c r="F102" s="297"/>
      <x:c r="G102" s="297"/>
      <x:c r="H102" s="299"/>
      <x:c r="I102" s="299"/>
      <x:c r="J102" s="297"/>
      <x:c r="K102" s="300"/>
      <x:c r="L102" s="297"/>
      <x:c r="M102" s="301"/>
      <x:c r="N102" s="297"/>
      <x:c r="O102" s="301"/>
      <x:c r="P102" s="297"/>
      <x:c r="Q102" s="297"/>
      <x:c r="R102" s="301"/>
      <x:c r="S102" s="302"/>
      <x:c r="T102" s="302"/>
      <x:c r="U102" s="303" t="str">
        <x:f>IF(OR(S102="",T102=""),"",IF(T102&lt;=S102,"Yes","No"))</x:f>
      </x:c>
      <x:c r="V102" s="297"/>
      <x:c r="W102" s="297"/>
      <x:c r="X102" s="297"/>
      <x:c r="Y102" s="297"/>
      <x:c r="Z102" s="297"/>
    </x:row>
    <x:row r="103">
      <x:c r="A103" s="297"/>
      <x:c r="B103" s="298"/>
      <x:c r="C103" s="297"/>
      <x:c r="D103" s="297"/>
      <x:c r="E103" s="297"/>
      <x:c r="F103" s="297"/>
      <x:c r="G103" s="297"/>
      <x:c r="H103" s="299"/>
      <x:c r="I103" s="299"/>
      <x:c r="J103" s="297"/>
      <x:c r="K103" s="300"/>
      <x:c r="L103" s="297"/>
      <x:c r="M103" s="301"/>
      <x:c r="N103" s="297"/>
      <x:c r="O103" s="301"/>
      <x:c r="P103" s="297"/>
      <x:c r="Q103" s="297"/>
      <x:c r="R103" s="301"/>
      <x:c r="S103" s="302"/>
      <x:c r="T103" s="302"/>
      <x:c r="U103" s="303" t="str">
        <x:f>IF(OR(S103="",T103=""),"",IF(T103&lt;=S103,"Yes","No"))</x:f>
      </x:c>
      <x:c r="V103" s="297"/>
      <x:c r="W103" s="297"/>
      <x:c r="X103" s="297"/>
      <x:c r="Y103" s="297"/>
      <x:c r="Z103" s="297"/>
    </x:row>
    <x:row r="104">
      <x:c r="A104" s="297"/>
      <x:c r="B104" s="298"/>
      <x:c r="C104" s="297"/>
      <x:c r="D104" s="297"/>
      <x:c r="E104" s="297"/>
      <x:c r="F104" s="297"/>
      <x:c r="G104" s="297"/>
      <x:c r="H104" s="299"/>
      <x:c r="I104" s="299"/>
      <x:c r="J104" s="297"/>
      <x:c r="K104" s="300"/>
      <x:c r="L104" s="297"/>
      <x:c r="M104" s="301"/>
      <x:c r="N104" s="297"/>
      <x:c r="O104" s="301"/>
      <x:c r="P104" s="297"/>
      <x:c r="Q104" s="297"/>
      <x:c r="R104" s="301"/>
      <x:c r="S104" s="302"/>
      <x:c r="T104" s="302"/>
      <x:c r="U104" s="303" t="str">
        <x:f>IF(OR(S104="",T104=""),"",IF(T104&lt;=S104,"Yes","No"))</x:f>
      </x:c>
      <x:c r="V104" s="297"/>
      <x:c r="W104" s="297"/>
      <x:c r="X104" s="297"/>
      <x:c r="Y104" s="297"/>
      <x:c r="Z104" s="297"/>
    </x:row>
    <x:row r="105">
      <x:c r="A105" s="297"/>
      <x:c r="B105" s="298"/>
      <x:c r="C105" s="297"/>
      <x:c r="D105" s="297"/>
      <x:c r="E105" s="297"/>
      <x:c r="F105" s="297"/>
      <x:c r="G105" s="297"/>
      <x:c r="H105" s="299"/>
      <x:c r="I105" s="299"/>
      <x:c r="J105" s="297"/>
      <x:c r="K105" s="300"/>
      <x:c r="L105" s="297"/>
      <x:c r="M105" s="301"/>
      <x:c r="N105" s="297"/>
      <x:c r="O105" s="301"/>
      <x:c r="P105" s="297"/>
      <x:c r="Q105" s="297"/>
      <x:c r="R105" s="301"/>
      <x:c r="S105" s="302"/>
      <x:c r="T105" s="302"/>
      <x:c r="U105" s="303" t="str">
        <x:f>IF(OR(S105="",T105=""),"",IF(T105&lt;=S105,"Yes","No"))</x:f>
      </x:c>
      <x:c r="V105" s="297"/>
      <x:c r="W105" s="297"/>
      <x:c r="X105" s="297"/>
      <x:c r="Y105" s="297"/>
      <x:c r="Z105" s="297"/>
    </x:row>
    <x:row r="106">
      <x:c r="A106" s="297"/>
      <x:c r="B106" s="298"/>
      <x:c r="C106" s="297"/>
      <x:c r="D106" s="297"/>
      <x:c r="E106" s="297"/>
      <x:c r="F106" s="297"/>
      <x:c r="G106" s="297"/>
      <x:c r="H106" s="299"/>
      <x:c r="I106" s="299"/>
      <x:c r="J106" s="297"/>
      <x:c r="K106" s="300"/>
      <x:c r="L106" s="297"/>
      <x:c r="M106" s="301"/>
      <x:c r="N106" s="297"/>
      <x:c r="O106" s="301"/>
      <x:c r="P106" s="297"/>
      <x:c r="Q106" s="297"/>
      <x:c r="R106" s="301"/>
      <x:c r="S106" s="302"/>
      <x:c r="T106" s="302"/>
      <x:c r="U106" s="303" t="str">
        <x:f>IF(OR(S106="",T106=""),"",IF(T106&lt;=S106,"Yes","No"))</x:f>
      </x:c>
      <x:c r="V106" s="297"/>
      <x:c r="W106" s="297"/>
      <x:c r="X106" s="297"/>
      <x:c r="Y106" s="297"/>
      <x:c r="Z106" s="297"/>
    </x:row>
    <x:row r="107">
      <x:c r="A107" s="297"/>
      <x:c r="B107" s="298"/>
      <x:c r="C107" s="297"/>
      <x:c r="D107" s="297"/>
      <x:c r="E107" s="297"/>
      <x:c r="F107" s="297"/>
      <x:c r="G107" s="297"/>
      <x:c r="H107" s="299"/>
      <x:c r="I107" s="299"/>
      <x:c r="J107" s="297"/>
      <x:c r="K107" s="300"/>
      <x:c r="L107" s="297"/>
      <x:c r="M107" s="301"/>
      <x:c r="N107" s="297"/>
      <x:c r="O107" s="301"/>
      <x:c r="P107" s="297"/>
      <x:c r="Q107" s="297"/>
      <x:c r="R107" s="301"/>
      <x:c r="S107" s="302"/>
      <x:c r="T107" s="302"/>
      <x:c r="U107" s="303" t="str">
        <x:f>IF(OR(S107="",T107=""),"",IF(T107&lt;=S107,"Yes","No"))</x:f>
      </x:c>
      <x:c r="V107" s="297"/>
      <x:c r="W107" s="297"/>
      <x:c r="X107" s="297"/>
      <x:c r="Y107" s="297"/>
      <x:c r="Z107" s="297"/>
    </x:row>
    <x:row r="108">
      <x:c r="A108" s="297"/>
      <x:c r="B108" s="298"/>
      <x:c r="C108" s="297"/>
      <x:c r="D108" s="297"/>
      <x:c r="E108" s="297"/>
      <x:c r="F108" s="297"/>
      <x:c r="G108" s="297"/>
      <x:c r="H108" s="299"/>
      <x:c r="I108" s="299"/>
      <x:c r="J108" s="297"/>
      <x:c r="K108" s="300"/>
      <x:c r="L108" s="297"/>
      <x:c r="M108" s="301"/>
      <x:c r="N108" s="297"/>
      <x:c r="O108" s="301"/>
      <x:c r="P108" s="297"/>
      <x:c r="Q108" s="297"/>
      <x:c r="R108" s="301"/>
      <x:c r="S108" s="302"/>
      <x:c r="T108" s="302"/>
      <x:c r="U108" s="303" t="str">
        <x:f>IF(OR(S108="",T108=""),"",IF(T108&lt;=S108,"Yes","No"))</x:f>
      </x:c>
      <x:c r="V108" s="297"/>
      <x:c r="W108" s="297"/>
      <x:c r="X108" s="297"/>
      <x:c r="Y108" s="297"/>
      <x:c r="Z108" s="297"/>
    </x:row>
    <x:row r="109">
      <x:c r="A109" s="297"/>
      <x:c r="B109" s="298"/>
      <x:c r="C109" s="297"/>
      <x:c r="D109" s="297"/>
      <x:c r="E109" s="297"/>
      <x:c r="F109" s="297"/>
      <x:c r="G109" s="297"/>
      <x:c r="H109" s="299"/>
      <x:c r="I109" s="299"/>
      <x:c r="J109" s="297"/>
      <x:c r="K109" s="300"/>
      <x:c r="L109" s="297"/>
      <x:c r="M109" s="301"/>
      <x:c r="N109" s="297"/>
      <x:c r="O109" s="301"/>
      <x:c r="P109" s="297"/>
      <x:c r="Q109" s="297"/>
      <x:c r="R109" s="301"/>
      <x:c r="S109" s="302"/>
      <x:c r="T109" s="302"/>
      <x:c r="U109" s="303" t="str">
        <x:f>IF(OR(S109="",T109=""),"",IF(T109&lt;=S109,"Yes","No"))</x:f>
      </x:c>
      <x:c r="V109" s="297"/>
      <x:c r="W109" s="297"/>
      <x:c r="X109" s="297"/>
      <x:c r="Y109" s="297"/>
      <x:c r="Z109" s="297"/>
    </x:row>
    <x:row r="110">
      <x:c r="A110" s="297"/>
      <x:c r="B110" s="298"/>
      <x:c r="C110" s="297"/>
      <x:c r="D110" s="297"/>
      <x:c r="E110" s="297"/>
      <x:c r="F110" s="297"/>
      <x:c r="G110" s="297"/>
      <x:c r="H110" s="299"/>
      <x:c r="I110" s="299"/>
      <x:c r="J110" s="297"/>
      <x:c r="K110" s="300"/>
      <x:c r="L110" s="297"/>
      <x:c r="M110" s="301"/>
      <x:c r="N110" s="297"/>
      <x:c r="O110" s="301"/>
      <x:c r="P110" s="297"/>
      <x:c r="Q110" s="297"/>
      <x:c r="R110" s="301"/>
      <x:c r="S110" s="302"/>
      <x:c r="T110" s="302"/>
      <x:c r="U110" s="303" t="str">
        <x:f>IF(OR(S110="",T110=""),"",IF(T110&lt;=S110,"Yes","No"))</x:f>
      </x:c>
      <x:c r="V110" s="297"/>
      <x:c r="W110" s="297"/>
      <x:c r="X110" s="297"/>
      <x:c r="Y110" s="297"/>
      <x:c r="Z110" s="297"/>
    </x:row>
    <x:row r="111">
      <x:c r="A111" s="297"/>
      <x:c r="B111" s="298"/>
      <x:c r="C111" s="297"/>
      <x:c r="D111" s="297"/>
      <x:c r="E111" s="297"/>
      <x:c r="F111" s="297"/>
      <x:c r="G111" s="297"/>
      <x:c r="H111" s="299"/>
      <x:c r="I111" s="299"/>
      <x:c r="J111" s="297"/>
      <x:c r="K111" s="300"/>
      <x:c r="L111" s="297"/>
      <x:c r="M111" s="301"/>
      <x:c r="N111" s="297"/>
      <x:c r="O111" s="301"/>
      <x:c r="P111" s="297"/>
      <x:c r="Q111" s="297"/>
      <x:c r="R111" s="301"/>
      <x:c r="S111" s="302"/>
      <x:c r="T111" s="302"/>
      <x:c r="U111" s="303" t="str">
        <x:f>IF(OR(S111="",T111=""),"",IF(T111&lt;=S111,"Yes","No"))</x:f>
      </x:c>
      <x:c r="V111" s="297"/>
      <x:c r="W111" s="297"/>
      <x:c r="X111" s="297"/>
      <x:c r="Y111" s="297"/>
      <x:c r="Z111" s="297"/>
    </x:row>
    <x:row r="112">
      <x:c r="A112" s="297"/>
      <x:c r="B112" s="298"/>
      <x:c r="C112" s="297"/>
      <x:c r="D112" s="297"/>
      <x:c r="E112" s="297"/>
      <x:c r="F112" s="297"/>
      <x:c r="G112" s="297"/>
      <x:c r="H112" s="299"/>
      <x:c r="I112" s="299"/>
      <x:c r="J112" s="297"/>
      <x:c r="K112" s="300"/>
      <x:c r="L112" s="297"/>
      <x:c r="M112" s="301"/>
      <x:c r="N112" s="297"/>
      <x:c r="O112" s="301"/>
      <x:c r="P112" s="297"/>
      <x:c r="Q112" s="297"/>
      <x:c r="R112" s="301"/>
      <x:c r="S112" s="302"/>
      <x:c r="T112" s="302"/>
      <x:c r="U112" s="303" t="str">
        <x:f>IF(OR(S112="",T112=""),"",IF(T112&lt;=S112,"Yes","No"))</x:f>
      </x:c>
      <x:c r="V112" s="297"/>
      <x:c r="W112" s="297"/>
      <x:c r="X112" s="297"/>
      <x:c r="Y112" s="297"/>
      <x:c r="Z112" s="297"/>
    </x:row>
    <x:row r="113">
      <x:c r="A113" s="297"/>
      <x:c r="B113" s="298"/>
      <x:c r="C113" s="297"/>
      <x:c r="D113" s="297"/>
      <x:c r="E113" s="297"/>
      <x:c r="F113" s="297"/>
      <x:c r="G113" s="297"/>
      <x:c r="H113" s="299"/>
      <x:c r="I113" s="299"/>
      <x:c r="J113" s="297"/>
      <x:c r="K113" s="300"/>
      <x:c r="L113" s="297"/>
      <x:c r="M113" s="301"/>
      <x:c r="N113" s="297"/>
      <x:c r="O113" s="301"/>
      <x:c r="P113" s="297"/>
      <x:c r="Q113" s="297"/>
      <x:c r="R113" s="301"/>
      <x:c r="S113" s="302"/>
      <x:c r="T113" s="302"/>
      <x:c r="U113" s="303" t="str">
        <x:f>IF(OR(S113="",T113=""),"",IF(T113&lt;=S113,"Yes","No"))</x:f>
      </x:c>
      <x:c r="V113" s="297"/>
      <x:c r="W113" s="297"/>
      <x:c r="X113" s="297"/>
      <x:c r="Y113" s="297"/>
      <x:c r="Z113" s="297"/>
    </x:row>
    <x:row r="114">
      <x:c r="A114" s="297"/>
      <x:c r="B114" s="298"/>
      <x:c r="C114" s="297"/>
      <x:c r="D114" s="297"/>
      <x:c r="E114" s="297"/>
      <x:c r="F114" s="297"/>
      <x:c r="G114" s="297"/>
      <x:c r="H114" s="299"/>
      <x:c r="I114" s="299"/>
      <x:c r="J114" s="297"/>
      <x:c r="K114" s="300"/>
      <x:c r="L114" s="297"/>
      <x:c r="M114" s="301"/>
      <x:c r="N114" s="297"/>
      <x:c r="O114" s="301"/>
      <x:c r="P114" s="297"/>
      <x:c r="Q114" s="297"/>
      <x:c r="R114" s="301"/>
      <x:c r="S114" s="302"/>
      <x:c r="T114" s="302"/>
      <x:c r="U114" s="303" t="str">
        <x:f>IF(OR(S114="",T114=""),"",IF(T114&lt;=S114,"Yes","No"))</x:f>
      </x:c>
      <x:c r="V114" s="297"/>
      <x:c r="W114" s="297"/>
      <x:c r="X114" s="297"/>
      <x:c r="Y114" s="297"/>
      <x:c r="Z114" s="297"/>
    </x:row>
    <x:row r="115">
      <x:c r="A115" s="297"/>
      <x:c r="B115" s="298"/>
      <x:c r="C115" s="297"/>
      <x:c r="D115" s="297"/>
      <x:c r="E115" s="297"/>
      <x:c r="F115" s="297"/>
      <x:c r="G115" s="297"/>
      <x:c r="H115" s="299"/>
      <x:c r="I115" s="299"/>
      <x:c r="J115" s="297"/>
      <x:c r="K115" s="300"/>
      <x:c r="L115" s="297"/>
      <x:c r="M115" s="301"/>
      <x:c r="N115" s="297"/>
      <x:c r="O115" s="301"/>
      <x:c r="P115" s="297"/>
      <x:c r="Q115" s="297"/>
      <x:c r="R115" s="301"/>
      <x:c r="S115" s="302"/>
      <x:c r="T115" s="302"/>
      <x:c r="U115" s="303" t="str">
        <x:f>IF(OR(S115="",T115=""),"",IF(T115&lt;=S115,"Yes","No"))</x:f>
      </x:c>
      <x:c r="V115" s="297"/>
      <x:c r="W115" s="297"/>
      <x:c r="X115" s="297"/>
      <x:c r="Y115" s="297"/>
      <x:c r="Z115" s="297"/>
    </x:row>
    <x:row r="116">
      <x:c r="A116" s="297"/>
      <x:c r="B116" s="298"/>
      <x:c r="C116" s="297"/>
      <x:c r="D116" s="297"/>
      <x:c r="E116" s="297"/>
      <x:c r="F116" s="297"/>
      <x:c r="G116" s="297"/>
      <x:c r="H116" s="299"/>
      <x:c r="I116" s="299"/>
      <x:c r="J116" s="297"/>
      <x:c r="K116" s="300"/>
      <x:c r="L116" s="297"/>
      <x:c r="M116" s="301"/>
      <x:c r="N116" s="297"/>
      <x:c r="O116" s="301"/>
      <x:c r="P116" s="297"/>
      <x:c r="Q116" s="297"/>
      <x:c r="R116" s="301"/>
      <x:c r="S116" s="302"/>
      <x:c r="T116" s="302"/>
      <x:c r="U116" s="303" t="str">
        <x:f>IF(OR(S116="",T116=""),"",IF(T116&lt;=S116,"Yes","No"))</x:f>
      </x:c>
      <x:c r="V116" s="297"/>
      <x:c r="W116" s="297"/>
      <x:c r="X116" s="297"/>
      <x:c r="Y116" s="297"/>
      <x:c r="Z116" s="297"/>
    </x:row>
    <x:row r="117">
      <x:c r="A117" s="297"/>
      <x:c r="B117" s="298"/>
      <x:c r="C117" s="297"/>
      <x:c r="D117" s="297"/>
      <x:c r="E117" s="297"/>
      <x:c r="F117" s="297"/>
      <x:c r="G117" s="297"/>
      <x:c r="H117" s="299"/>
      <x:c r="I117" s="299"/>
      <x:c r="J117" s="297"/>
      <x:c r="K117" s="300"/>
      <x:c r="L117" s="297"/>
      <x:c r="M117" s="301"/>
      <x:c r="N117" s="297"/>
      <x:c r="O117" s="301"/>
      <x:c r="P117" s="297"/>
      <x:c r="Q117" s="297"/>
      <x:c r="R117" s="301"/>
      <x:c r="S117" s="302"/>
      <x:c r="T117" s="302"/>
      <x:c r="U117" s="303" t="str">
        <x:f>IF(OR(S117="",T117=""),"",IF(T117&lt;=S117,"Yes","No"))</x:f>
      </x:c>
      <x:c r="V117" s="297"/>
      <x:c r="W117" s="297"/>
      <x:c r="X117" s="297"/>
      <x:c r="Y117" s="297"/>
      <x:c r="Z117" s="297"/>
    </x:row>
    <x:row r="118">
      <x:c r="A118" s="297"/>
      <x:c r="B118" s="298"/>
      <x:c r="C118" s="297"/>
      <x:c r="D118" s="297"/>
      <x:c r="E118" s="297"/>
      <x:c r="F118" s="297"/>
      <x:c r="G118" s="297"/>
      <x:c r="H118" s="299"/>
      <x:c r="I118" s="299"/>
      <x:c r="J118" s="297"/>
      <x:c r="K118" s="300"/>
      <x:c r="L118" s="297"/>
      <x:c r="M118" s="301"/>
      <x:c r="N118" s="297"/>
      <x:c r="O118" s="301"/>
      <x:c r="P118" s="297"/>
      <x:c r="Q118" s="297"/>
      <x:c r="R118" s="301"/>
      <x:c r="S118" s="302"/>
      <x:c r="T118" s="302"/>
      <x:c r="U118" s="303" t="str">
        <x:f>IF(OR(S118="",T118=""),"",IF(T118&lt;=S118,"Yes","No"))</x:f>
      </x:c>
      <x:c r="V118" s="297"/>
      <x:c r="W118" s="297"/>
      <x:c r="X118" s="297"/>
      <x:c r="Y118" s="297"/>
      <x:c r="Z118" s="297"/>
    </x:row>
    <x:row r="119">
      <x:c r="A119" s="297"/>
      <x:c r="B119" s="298"/>
      <x:c r="C119" s="297"/>
      <x:c r="D119" s="297"/>
      <x:c r="E119" s="297"/>
      <x:c r="F119" s="297"/>
      <x:c r="G119" s="297"/>
      <x:c r="H119" s="299"/>
      <x:c r="I119" s="299"/>
      <x:c r="J119" s="297"/>
      <x:c r="K119" s="300"/>
      <x:c r="L119" s="297"/>
      <x:c r="M119" s="301"/>
      <x:c r="N119" s="297"/>
      <x:c r="O119" s="301"/>
      <x:c r="P119" s="297"/>
      <x:c r="Q119" s="297"/>
      <x:c r="R119" s="301"/>
      <x:c r="S119" s="302"/>
      <x:c r="T119" s="302"/>
      <x:c r="U119" s="303" t="str">
        <x:f>IF(OR(S119="",T119=""),"",IF(T119&lt;=S119,"Yes","No"))</x:f>
      </x:c>
      <x:c r="V119" s="297"/>
      <x:c r="W119" s="297"/>
      <x:c r="X119" s="297"/>
      <x:c r="Y119" s="297"/>
      <x:c r="Z119" s="297"/>
    </x:row>
    <x:row r="120">
      <x:c r="A120" s="297"/>
      <x:c r="B120" s="298"/>
      <x:c r="C120" s="297"/>
      <x:c r="D120" s="297"/>
      <x:c r="E120" s="297"/>
      <x:c r="F120" s="297"/>
      <x:c r="G120" s="297"/>
      <x:c r="H120" s="299"/>
      <x:c r="I120" s="299"/>
      <x:c r="J120" s="297"/>
      <x:c r="K120" s="300"/>
      <x:c r="L120" s="297"/>
      <x:c r="M120" s="301"/>
      <x:c r="N120" s="297"/>
      <x:c r="O120" s="301"/>
      <x:c r="P120" s="297"/>
      <x:c r="Q120" s="297"/>
      <x:c r="R120" s="301"/>
      <x:c r="S120" s="302"/>
      <x:c r="T120" s="302"/>
      <x:c r="U120" s="303" t="str">
        <x:f>IF(OR(S120="",T120=""),"",IF(T120&lt;=S120,"Yes","No"))</x:f>
      </x:c>
      <x:c r="V120" s="297"/>
      <x:c r="W120" s="297"/>
      <x:c r="X120" s="297"/>
      <x:c r="Y120" s="297"/>
      <x:c r="Z120" s="297"/>
    </x:row>
    <x:row r="121">
      <x:c r="A121" s="297"/>
      <x:c r="B121" s="298"/>
      <x:c r="C121" s="297"/>
      <x:c r="D121" s="297"/>
      <x:c r="E121" s="297"/>
      <x:c r="F121" s="297"/>
      <x:c r="G121" s="297"/>
      <x:c r="H121" s="299"/>
      <x:c r="I121" s="299"/>
      <x:c r="J121" s="297"/>
      <x:c r="K121" s="300"/>
      <x:c r="L121" s="297"/>
      <x:c r="M121" s="301"/>
      <x:c r="N121" s="297"/>
      <x:c r="O121" s="301"/>
      <x:c r="P121" s="297"/>
      <x:c r="Q121" s="297"/>
      <x:c r="R121" s="301"/>
      <x:c r="S121" s="302"/>
      <x:c r="T121" s="302"/>
      <x:c r="U121" s="303" t="str">
        <x:f>IF(OR(S121="",T121=""),"",IF(T121&lt;=S121,"Yes","No"))</x:f>
      </x:c>
      <x:c r="V121" s="297"/>
      <x:c r="W121" s="297"/>
      <x:c r="X121" s="297"/>
      <x:c r="Y121" s="297"/>
      <x:c r="Z121" s="297"/>
    </x:row>
    <x:row r="122">
      <x:c r="A122" s="297"/>
      <x:c r="B122" s="298"/>
      <x:c r="C122" s="297"/>
      <x:c r="D122" s="297"/>
      <x:c r="E122" s="297"/>
      <x:c r="F122" s="297"/>
      <x:c r="G122" s="297"/>
      <x:c r="H122" s="299"/>
      <x:c r="I122" s="299"/>
      <x:c r="J122" s="297"/>
      <x:c r="K122" s="300"/>
      <x:c r="L122" s="297"/>
      <x:c r="M122" s="301"/>
      <x:c r="N122" s="297"/>
      <x:c r="O122" s="301"/>
      <x:c r="P122" s="297"/>
      <x:c r="Q122" s="297"/>
      <x:c r="R122" s="301"/>
      <x:c r="S122" s="302"/>
      <x:c r="T122" s="302"/>
      <x:c r="U122" s="303" t="str">
        <x:f>IF(OR(S122="",T122=""),"",IF(T122&lt;=S122,"Yes","No"))</x:f>
      </x:c>
      <x:c r="V122" s="297"/>
      <x:c r="W122" s="297"/>
      <x:c r="X122" s="297"/>
      <x:c r="Y122" s="297"/>
      <x:c r="Z122" s="297"/>
    </x:row>
    <x:row r="123">
      <x:c r="A123" s="297"/>
      <x:c r="B123" s="298"/>
      <x:c r="C123" s="297"/>
      <x:c r="D123" s="297"/>
      <x:c r="E123" s="297"/>
      <x:c r="F123" s="297"/>
      <x:c r="G123" s="297"/>
      <x:c r="H123" s="299"/>
      <x:c r="I123" s="299"/>
      <x:c r="J123" s="297"/>
      <x:c r="K123" s="300"/>
      <x:c r="L123" s="297"/>
      <x:c r="M123" s="301"/>
      <x:c r="N123" s="297"/>
      <x:c r="O123" s="301"/>
      <x:c r="P123" s="297"/>
      <x:c r="Q123" s="297"/>
      <x:c r="R123" s="301"/>
      <x:c r="S123" s="302"/>
      <x:c r="T123" s="302"/>
      <x:c r="U123" s="303" t="str">
        <x:f>IF(OR(S123="",T123=""),"",IF(T123&lt;=S123,"Yes","No"))</x:f>
      </x:c>
      <x:c r="V123" s="297"/>
      <x:c r="W123" s="297"/>
      <x:c r="X123" s="297"/>
      <x:c r="Y123" s="297"/>
      <x:c r="Z123" s="297"/>
    </x:row>
    <x:row r="124">
      <x:c r="A124" s="297"/>
      <x:c r="B124" s="298"/>
      <x:c r="C124" s="297"/>
      <x:c r="D124" s="297"/>
      <x:c r="E124" s="297"/>
      <x:c r="F124" s="297"/>
      <x:c r="G124" s="297"/>
      <x:c r="H124" s="299"/>
      <x:c r="I124" s="299"/>
      <x:c r="J124" s="297"/>
      <x:c r="K124" s="300"/>
      <x:c r="L124" s="297"/>
      <x:c r="M124" s="301"/>
      <x:c r="N124" s="297"/>
      <x:c r="O124" s="301"/>
      <x:c r="P124" s="297"/>
      <x:c r="Q124" s="297"/>
      <x:c r="R124" s="301"/>
      <x:c r="S124" s="302"/>
      <x:c r="T124" s="302"/>
      <x:c r="U124" s="303" t="str">
        <x:f>IF(OR(S124="",T124=""),"",IF(T124&lt;=S124,"Yes","No"))</x:f>
      </x:c>
      <x:c r="V124" s="297"/>
      <x:c r="W124" s="297"/>
      <x:c r="X124" s="297"/>
      <x:c r="Y124" s="297"/>
      <x:c r="Z124" s="297"/>
    </x:row>
    <x:row r="125">
      <x:c r="A125" s="297"/>
      <x:c r="B125" s="298"/>
      <x:c r="C125" s="297"/>
      <x:c r="D125" s="297"/>
      <x:c r="E125" s="297"/>
      <x:c r="F125" s="297"/>
      <x:c r="G125" s="297"/>
      <x:c r="H125" s="299"/>
      <x:c r="I125" s="299"/>
      <x:c r="J125" s="297"/>
      <x:c r="K125" s="300"/>
      <x:c r="L125" s="297"/>
      <x:c r="M125" s="301"/>
      <x:c r="N125" s="297"/>
      <x:c r="O125" s="301"/>
      <x:c r="P125" s="297"/>
      <x:c r="Q125" s="297"/>
      <x:c r="R125" s="301"/>
      <x:c r="S125" s="302"/>
      <x:c r="T125" s="302"/>
      <x:c r="U125" s="303" t="str">
        <x:f>IF(OR(S125="",T125=""),"",IF(T125&lt;=S125,"Yes","No"))</x:f>
      </x:c>
      <x:c r="V125" s="297"/>
      <x:c r="W125" s="297"/>
      <x:c r="X125" s="297"/>
      <x:c r="Y125" s="297"/>
      <x:c r="Z125" s="297"/>
    </x:row>
    <x:row r="126">
      <x:c r="A126" s="297"/>
      <x:c r="B126" s="298"/>
      <x:c r="C126" s="297"/>
      <x:c r="D126" s="297"/>
      <x:c r="E126" s="297"/>
      <x:c r="F126" s="297"/>
      <x:c r="G126" s="297"/>
      <x:c r="H126" s="299"/>
      <x:c r="I126" s="299"/>
      <x:c r="J126" s="297"/>
      <x:c r="K126" s="300"/>
      <x:c r="L126" s="297"/>
      <x:c r="M126" s="301"/>
      <x:c r="N126" s="297"/>
      <x:c r="O126" s="301"/>
      <x:c r="P126" s="297"/>
      <x:c r="Q126" s="297"/>
      <x:c r="R126" s="301"/>
      <x:c r="S126" s="302"/>
      <x:c r="T126" s="302"/>
      <x:c r="U126" s="303" t="str">
        <x:f>IF(OR(S126="",T126=""),"",IF(T126&lt;=S126,"Yes","No"))</x:f>
      </x:c>
      <x:c r="V126" s="297"/>
      <x:c r="W126" s="297"/>
      <x:c r="X126" s="297"/>
      <x:c r="Y126" s="297"/>
      <x:c r="Z126" s="297"/>
    </x:row>
    <x:row r="127">
      <x:c r="A127" s="297"/>
      <x:c r="B127" s="298"/>
      <x:c r="C127" s="297"/>
      <x:c r="D127" s="297"/>
      <x:c r="E127" s="297"/>
      <x:c r="F127" s="297"/>
      <x:c r="G127" s="297"/>
      <x:c r="H127" s="299"/>
      <x:c r="I127" s="299"/>
      <x:c r="J127" s="297"/>
      <x:c r="K127" s="300"/>
      <x:c r="L127" s="297"/>
      <x:c r="M127" s="301"/>
      <x:c r="N127" s="297"/>
      <x:c r="O127" s="301"/>
      <x:c r="P127" s="297"/>
      <x:c r="Q127" s="297"/>
      <x:c r="R127" s="301"/>
      <x:c r="S127" s="302"/>
      <x:c r="T127" s="302"/>
      <x:c r="U127" s="303" t="str">
        <x:f>IF(OR(S127="",T127=""),"",IF(T127&lt;=S127,"Yes","No"))</x:f>
      </x:c>
      <x:c r="V127" s="297"/>
      <x:c r="W127" s="297"/>
      <x:c r="X127" s="297"/>
      <x:c r="Y127" s="297"/>
      <x:c r="Z127" s="297"/>
    </x:row>
    <x:row r="128">
      <x:c r="A128" s="297"/>
      <x:c r="B128" s="298"/>
      <x:c r="C128" s="297"/>
      <x:c r="D128" s="297"/>
      <x:c r="E128" s="297"/>
      <x:c r="F128" s="297"/>
      <x:c r="G128" s="297"/>
      <x:c r="H128" s="299"/>
      <x:c r="I128" s="299"/>
      <x:c r="J128" s="297"/>
      <x:c r="K128" s="300"/>
      <x:c r="L128" s="297"/>
      <x:c r="M128" s="301"/>
      <x:c r="N128" s="297"/>
      <x:c r="O128" s="301"/>
      <x:c r="P128" s="297"/>
      <x:c r="Q128" s="297"/>
      <x:c r="R128" s="301"/>
      <x:c r="S128" s="302"/>
      <x:c r="T128" s="302"/>
      <x:c r="U128" s="303" t="str">
        <x:f>IF(OR(S128="",T128=""),"",IF(T128&lt;=S128,"Yes","No"))</x:f>
      </x:c>
      <x:c r="V128" s="297"/>
      <x:c r="W128" s="297"/>
      <x:c r="X128" s="297"/>
      <x:c r="Y128" s="297"/>
      <x:c r="Z128" s="297"/>
    </x:row>
    <x:row r="129">
      <x:c r="A129" s="297"/>
      <x:c r="B129" s="298"/>
      <x:c r="C129" s="297"/>
      <x:c r="D129" s="297"/>
      <x:c r="E129" s="297"/>
      <x:c r="F129" s="297"/>
      <x:c r="G129" s="297"/>
      <x:c r="H129" s="299"/>
      <x:c r="I129" s="299"/>
      <x:c r="J129" s="297"/>
      <x:c r="K129" s="300"/>
      <x:c r="L129" s="297"/>
      <x:c r="M129" s="301"/>
      <x:c r="N129" s="297"/>
      <x:c r="O129" s="301"/>
      <x:c r="P129" s="297"/>
      <x:c r="Q129" s="297"/>
      <x:c r="R129" s="301"/>
      <x:c r="S129" s="302"/>
      <x:c r="T129" s="302"/>
      <x:c r="U129" s="303" t="str">
        <x:f>IF(OR(S129="",T129=""),"",IF(T129&lt;=S129,"Yes","No"))</x:f>
      </x:c>
      <x:c r="V129" s="297"/>
      <x:c r="W129" s="297"/>
      <x:c r="X129" s="297"/>
      <x:c r="Y129" s="297"/>
      <x:c r="Z129" s="297"/>
    </x:row>
    <x:row r="130">
      <x:c r="A130" s="297"/>
      <x:c r="B130" s="298"/>
      <x:c r="C130" s="297"/>
      <x:c r="D130" s="297"/>
      <x:c r="E130" s="297"/>
      <x:c r="F130" s="297"/>
      <x:c r="G130" s="297"/>
      <x:c r="H130" s="299"/>
      <x:c r="I130" s="299"/>
      <x:c r="J130" s="297"/>
      <x:c r="K130" s="300"/>
      <x:c r="L130" s="297"/>
      <x:c r="M130" s="301"/>
      <x:c r="N130" s="297"/>
      <x:c r="O130" s="301"/>
      <x:c r="P130" s="297"/>
      <x:c r="Q130" s="297"/>
      <x:c r="R130" s="301"/>
      <x:c r="S130" s="302"/>
      <x:c r="T130" s="302"/>
      <x:c r="U130" s="303" t="str">
        <x:f>IF(OR(S130="",T130=""),"",IF(T130&lt;=S130,"Yes","No"))</x:f>
      </x:c>
      <x:c r="V130" s="297"/>
      <x:c r="W130" s="297"/>
      <x:c r="X130" s="297"/>
      <x:c r="Y130" s="297"/>
      <x:c r="Z130" s="297"/>
    </x:row>
    <x:row r="131">
      <x:c r="A131" s="297"/>
      <x:c r="B131" s="298"/>
      <x:c r="C131" s="297"/>
      <x:c r="D131" s="297"/>
      <x:c r="E131" s="297"/>
      <x:c r="F131" s="297"/>
      <x:c r="G131" s="297"/>
      <x:c r="H131" s="299"/>
      <x:c r="I131" s="299"/>
      <x:c r="J131" s="297"/>
      <x:c r="K131" s="300"/>
      <x:c r="L131" s="297"/>
      <x:c r="M131" s="301"/>
      <x:c r="N131" s="297"/>
      <x:c r="O131" s="301"/>
      <x:c r="P131" s="297"/>
      <x:c r="Q131" s="297"/>
      <x:c r="R131" s="301"/>
      <x:c r="S131" s="302"/>
      <x:c r="T131" s="302"/>
      <x:c r="U131" s="303" t="str">
        <x:f>IF(OR(S131="",T131=""),"",IF(T131&lt;=S131,"Yes","No"))</x:f>
      </x:c>
      <x:c r="V131" s="297"/>
      <x:c r="W131" s="297"/>
      <x:c r="X131" s="297"/>
      <x:c r="Y131" s="297"/>
      <x:c r="Z131" s="297"/>
    </x:row>
    <x:row r="132">
      <x:c r="A132" s="297"/>
      <x:c r="B132" s="298"/>
      <x:c r="C132" s="297"/>
      <x:c r="D132" s="297"/>
      <x:c r="E132" s="297"/>
      <x:c r="F132" s="297"/>
      <x:c r="G132" s="297"/>
      <x:c r="H132" s="299"/>
      <x:c r="I132" s="299"/>
      <x:c r="J132" s="297"/>
      <x:c r="K132" s="300"/>
      <x:c r="L132" s="297"/>
      <x:c r="M132" s="301"/>
      <x:c r="N132" s="297"/>
      <x:c r="O132" s="301"/>
      <x:c r="P132" s="297"/>
      <x:c r="Q132" s="297"/>
      <x:c r="R132" s="301"/>
      <x:c r="S132" s="302"/>
      <x:c r="T132" s="302"/>
      <x:c r="U132" s="303" t="str">
        <x:f>IF(OR(S132="",T132=""),"",IF(T132&lt;=S132,"Yes","No"))</x:f>
      </x:c>
      <x:c r="V132" s="297"/>
      <x:c r="W132" s="297"/>
      <x:c r="X132" s="297"/>
      <x:c r="Y132" s="297"/>
      <x:c r="Z132" s="297"/>
    </x:row>
    <x:row r="133">
      <x:c r="A133" s="297"/>
      <x:c r="B133" s="298"/>
      <x:c r="C133" s="297"/>
      <x:c r="D133" s="297"/>
      <x:c r="E133" s="297"/>
      <x:c r="F133" s="297"/>
      <x:c r="G133" s="297"/>
      <x:c r="H133" s="299"/>
      <x:c r="I133" s="299"/>
      <x:c r="J133" s="297"/>
      <x:c r="K133" s="300"/>
      <x:c r="L133" s="297"/>
      <x:c r="M133" s="301"/>
      <x:c r="N133" s="297"/>
      <x:c r="O133" s="301"/>
      <x:c r="P133" s="297"/>
      <x:c r="Q133" s="297"/>
      <x:c r="R133" s="301"/>
      <x:c r="S133" s="302"/>
      <x:c r="T133" s="302"/>
      <x:c r="U133" s="303" t="str">
        <x:f>IF(OR(S133="",T133=""),"",IF(T133&lt;=S133,"Yes","No"))</x:f>
      </x:c>
      <x:c r="V133" s="297"/>
      <x:c r="W133" s="297"/>
      <x:c r="X133" s="297"/>
      <x:c r="Y133" s="297"/>
      <x:c r="Z133" s="297"/>
    </x:row>
    <x:row r="134">
      <x:c r="A134" s="297"/>
      <x:c r="B134" s="298"/>
      <x:c r="C134" s="297"/>
      <x:c r="D134" s="297"/>
      <x:c r="E134" s="297"/>
      <x:c r="F134" s="297"/>
      <x:c r="G134" s="297"/>
      <x:c r="H134" s="299"/>
      <x:c r="I134" s="299"/>
      <x:c r="J134" s="297"/>
      <x:c r="K134" s="300"/>
      <x:c r="L134" s="297"/>
      <x:c r="M134" s="301"/>
      <x:c r="N134" s="297"/>
      <x:c r="O134" s="301"/>
      <x:c r="P134" s="297"/>
      <x:c r="Q134" s="297"/>
      <x:c r="R134" s="301"/>
      <x:c r="S134" s="302"/>
      <x:c r="T134" s="302"/>
      <x:c r="U134" s="303" t="str">
        <x:f>IF(OR(S134="",T134=""),"",IF(T134&lt;=S134,"Yes","No"))</x:f>
      </x:c>
      <x:c r="V134" s="297"/>
      <x:c r="W134" s="297"/>
      <x:c r="X134" s="297"/>
      <x:c r="Y134" s="297"/>
      <x:c r="Z134" s="297"/>
    </x:row>
    <x:row r="135">
      <x:c r="A135" s="297"/>
      <x:c r="B135" s="298"/>
      <x:c r="C135" s="297"/>
      <x:c r="D135" s="297"/>
      <x:c r="E135" s="297"/>
      <x:c r="F135" s="297"/>
      <x:c r="G135" s="297"/>
      <x:c r="H135" s="299"/>
      <x:c r="I135" s="299"/>
      <x:c r="J135" s="297"/>
      <x:c r="K135" s="300"/>
      <x:c r="L135" s="297"/>
      <x:c r="M135" s="301"/>
      <x:c r="N135" s="297"/>
      <x:c r="O135" s="301"/>
      <x:c r="P135" s="297"/>
      <x:c r="Q135" s="297"/>
      <x:c r="R135" s="301"/>
      <x:c r="S135" s="302"/>
      <x:c r="T135" s="302"/>
      <x:c r="U135" s="303" t="str">
        <x:f>IF(OR(S135="",T135=""),"",IF(T135&lt;=S135,"Yes","No"))</x:f>
      </x:c>
      <x:c r="V135" s="297"/>
      <x:c r="W135" s="297"/>
      <x:c r="X135" s="297"/>
      <x:c r="Y135" s="297"/>
      <x:c r="Z135" s="297"/>
    </x:row>
    <x:row r="136">
      <x:c r="A136" s="297"/>
      <x:c r="B136" s="298"/>
      <x:c r="C136" s="297"/>
      <x:c r="D136" s="297"/>
      <x:c r="E136" s="297"/>
      <x:c r="F136" s="297"/>
      <x:c r="G136" s="297"/>
      <x:c r="H136" s="299"/>
      <x:c r="I136" s="299"/>
      <x:c r="J136" s="297"/>
      <x:c r="K136" s="300"/>
      <x:c r="L136" s="297"/>
      <x:c r="M136" s="301"/>
      <x:c r="N136" s="297"/>
      <x:c r="O136" s="301"/>
      <x:c r="P136" s="297"/>
      <x:c r="Q136" s="297"/>
      <x:c r="R136" s="301"/>
      <x:c r="S136" s="302"/>
      <x:c r="T136" s="302"/>
      <x:c r="U136" s="303" t="str">
        <x:f>IF(OR(S136="",T136=""),"",IF(T136&lt;=S136,"Yes","No"))</x:f>
      </x:c>
      <x:c r="V136" s="297"/>
      <x:c r="W136" s="297"/>
      <x:c r="X136" s="297"/>
      <x:c r="Y136" s="297"/>
      <x:c r="Z136" s="297"/>
    </x:row>
    <x:row r="137">
      <x:c r="A137" s="297"/>
      <x:c r="B137" s="298"/>
      <x:c r="C137" s="297"/>
      <x:c r="D137" s="297"/>
      <x:c r="E137" s="297"/>
      <x:c r="F137" s="297"/>
      <x:c r="G137" s="297"/>
      <x:c r="H137" s="299"/>
      <x:c r="I137" s="299"/>
      <x:c r="J137" s="297"/>
      <x:c r="K137" s="300"/>
      <x:c r="L137" s="297"/>
      <x:c r="M137" s="301"/>
      <x:c r="N137" s="297"/>
      <x:c r="O137" s="301"/>
      <x:c r="P137" s="297"/>
      <x:c r="Q137" s="297"/>
      <x:c r="R137" s="301"/>
      <x:c r="S137" s="302"/>
      <x:c r="T137" s="302"/>
      <x:c r="U137" s="303" t="str">
        <x:f>IF(OR(S137="",T137=""),"",IF(T137&lt;=S137,"Yes","No"))</x:f>
      </x:c>
      <x:c r="V137" s="297"/>
      <x:c r="W137" s="297"/>
      <x:c r="X137" s="297"/>
      <x:c r="Y137" s="297"/>
      <x:c r="Z137" s="297"/>
    </x:row>
    <x:row r="138">
      <x:c r="A138" s="297"/>
      <x:c r="B138" s="298"/>
      <x:c r="C138" s="297"/>
      <x:c r="D138" s="297"/>
      <x:c r="E138" s="297"/>
      <x:c r="F138" s="297"/>
      <x:c r="G138" s="297"/>
      <x:c r="H138" s="299"/>
      <x:c r="I138" s="299"/>
      <x:c r="J138" s="297"/>
      <x:c r="K138" s="300"/>
      <x:c r="L138" s="297"/>
      <x:c r="M138" s="301"/>
      <x:c r="N138" s="297"/>
      <x:c r="O138" s="301"/>
      <x:c r="P138" s="297"/>
      <x:c r="Q138" s="297"/>
      <x:c r="R138" s="301"/>
      <x:c r="S138" s="302"/>
      <x:c r="T138" s="302"/>
      <x:c r="U138" s="303" t="str">
        <x:f>IF(OR(S138="",T138=""),"",IF(T138&lt;=S138,"Yes","No"))</x:f>
      </x:c>
      <x:c r="V138" s="297"/>
      <x:c r="W138" s="297"/>
      <x:c r="X138" s="297"/>
      <x:c r="Y138" s="297"/>
      <x:c r="Z138" s="297"/>
    </x:row>
    <x:row r="139">
      <x:c r="A139" s="297"/>
      <x:c r="B139" s="298"/>
      <x:c r="C139" s="297"/>
      <x:c r="D139" s="297"/>
      <x:c r="E139" s="297"/>
      <x:c r="F139" s="297"/>
      <x:c r="G139" s="297"/>
      <x:c r="H139" s="299"/>
      <x:c r="I139" s="299"/>
      <x:c r="J139" s="297"/>
      <x:c r="K139" s="300"/>
      <x:c r="L139" s="297"/>
      <x:c r="M139" s="301"/>
      <x:c r="N139" s="297"/>
      <x:c r="O139" s="301"/>
      <x:c r="P139" s="297"/>
      <x:c r="Q139" s="297"/>
      <x:c r="R139" s="301"/>
      <x:c r="S139" s="302"/>
      <x:c r="T139" s="302"/>
      <x:c r="U139" s="303" t="str">
        <x:f>IF(OR(S139="",T139=""),"",IF(T139&lt;=S139,"Yes","No"))</x:f>
      </x:c>
      <x:c r="V139" s="297"/>
      <x:c r="W139" s="297"/>
      <x:c r="X139" s="297"/>
      <x:c r="Y139" s="297"/>
      <x:c r="Z139" s="297"/>
    </x:row>
    <x:row r="140">
      <x:c r="A140" s="297"/>
      <x:c r="B140" s="298"/>
      <x:c r="C140" s="297"/>
      <x:c r="D140" s="297"/>
      <x:c r="E140" s="297"/>
      <x:c r="F140" s="297"/>
      <x:c r="G140" s="297"/>
      <x:c r="H140" s="299"/>
      <x:c r="I140" s="299"/>
      <x:c r="J140" s="297"/>
      <x:c r="K140" s="300"/>
      <x:c r="L140" s="297"/>
      <x:c r="M140" s="301"/>
      <x:c r="N140" s="297"/>
      <x:c r="O140" s="301"/>
      <x:c r="P140" s="297"/>
      <x:c r="Q140" s="297"/>
      <x:c r="R140" s="301"/>
      <x:c r="S140" s="302"/>
      <x:c r="T140" s="302"/>
      <x:c r="U140" s="303" t="str">
        <x:f>IF(OR(S140="",T140=""),"",IF(T140&lt;=S140,"Yes","No"))</x:f>
      </x:c>
      <x:c r="V140" s="297"/>
      <x:c r="W140" s="297"/>
      <x:c r="X140" s="297"/>
      <x:c r="Y140" s="297"/>
      <x:c r="Z140" s="297"/>
    </x:row>
    <x:row r="141">
      <x:c r="A141" s="297"/>
      <x:c r="B141" s="298"/>
      <x:c r="C141" s="297"/>
      <x:c r="D141" s="297"/>
      <x:c r="E141" s="297"/>
      <x:c r="F141" s="297"/>
      <x:c r="G141" s="297"/>
      <x:c r="H141" s="299"/>
      <x:c r="I141" s="299"/>
      <x:c r="J141" s="297"/>
      <x:c r="K141" s="300"/>
      <x:c r="L141" s="297"/>
      <x:c r="M141" s="301"/>
      <x:c r="N141" s="297"/>
      <x:c r="O141" s="301"/>
      <x:c r="P141" s="297"/>
      <x:c r="Q141" s="297"/>
      <x:c r="R141" s="301"/>
      <x:c r="S141" s="302"/>
      <x:c r="T141" s="302"/>
      <x:c r="U141" s="303" t="str">
        <x:f>IF(OR(S141="",T141=""),"",IF(T141&lt;=S141,"Yes","No"))</x:f>
      </x:c>
      <x:c r="V141" s="297"/>
      <x:c r="W141" s="297"/>
      <x:c r="X141" s="297"/>
      <x:c r="Y141" s="297"/>
      <x:c r="Z141" s="297"/>
    </x:row>
    <x:row r="142">
      <x:c r="A142" s="297"/>
      <x:c r="B142" s="298"/>
      <x:c r="C142" s="297"/>
      <x:c r="D142" s="297"/>
      <x:c r="E142" s="297"/>
      <x:c r="F142" s="297"/>
      <x:c r="G142" s="297"/>
      <x:c r="H142" s="299"/>
      <x:c r="I142" s="299"/>
      <x:c r="J142" s="297"/>
      <x:c r="K142" s="300"/>
      <x:c r="L142" s="297"/>
      <x:c r="M142" s="301"/>
      <x:c r="N142" s="297"/>
      <x:c r="O142" s="301"/>
      <x:c r="P142" s="297"/>
      <x:c r="Q142" s="297"/>
      <x:c r="R142" s="301"/>
      <x:c r="S142" s="302"/>
      <x:c r="T142" s="302"/>
      <x:c r="U142" s="303" t="str">
        <x:f>IF(OR(S142="",T142=""),"",IF(T142&lt;=S142,"Yes","No"))</x:f>
      </x:c>
      <x:c r="V142" s="297"/>
      <x:c r="W142" s="297"/>
      <x:c r="X142" s="297"/>
      <x:c r="Y142" s="297"/>
      <x:c r="Z142" s="297"/>
    </x:row>
    <x:row r="143">
      <x:c r="A143" s="297"/>
      <x:c r="B143" s="298"/>
      <x:c r="C143" s="297"/>
      <x:c r="D143" s="297"/>
      <x:c r="E143" s="297"/>
      <x:c r="F143" s="297"/>
      <x:c r="G143" s="297"/>
      <x:c r="H143" s="299"/>
      <x:c r="I143" s="299"/>
      <x:c r="J143" s="297"/>
      <x:c r="K143" s="300"/>
      <x:c r="L143" s="297"/>
      <x:c r="M143" s="301"/>
      <x:c r="N143" s="297"/>
      <x:c r="O143" s="301"/>
      <x:c r="P143" s="297"/>
      <x:c r="Q143" s="297"/>
      <x:c r="R143" s="301"/>
      <x:c r="S143" s="302"/>
      <x:c r="T143" s="302"/>
      <x:c r="U143" s="303" t="str">
        <x:f>IF(OR(S143="",T143=""),"",IF(T143&lt;=S143,"Yes","No"))</x:f>
      </x:c>
      <x:c r="V143" s="297"/>
      <x:c r="W143" s="297"/>
      <x:c r="X143" s="297"/>
      <x:c r="Y143" s="297"/>
      <x:c r="Z143" s="297"/>
    </x:row>
    <x:row r="144">
      <x:c r="A144" s="297"/>
      <x:c r="B144" s="298"/>
      <x:c r="C144" s="297"/>
      <x:c r="D144" s="297"/>
      <x:c r="E144" s="297"/>
      <x:c r="F144" s="297"/>
      <x:c r="G144" s="297"/>
      <x:c r="H144" s="299"/>
      <x:c r="I144" s="299"/>
      <x:c r="J144" s="297"/>
      <x:c r="K144" s="300"/>
      <x:c r="L144" s="297"/>
      <x:c r="M144" s="301"/>
      <x:c r="N144" s="297"/>
      <x:c r="O144" s="301"/>
      <x:c r="P144" s="297"/>
      <x:c r="Q144" s="297"/>
      <x:c r="R144" s="301"/>
      <x:c r="S144" s="302"/>
      <x:c r="T144" s="302"/>
      <x:c r="U144" s="303" t="str">
        <x:f>IF(OR(S144="",T144=""),"",IF(T144&lt;=S144,"Yes","No"))</x:f>
      </x:c>
      <x:c r="V144" s="297"/>
      <x:c r="W144" s="297"/>
      <x:c r="X144" s="297"/>
      <x:c r="Y144" s="297"/>
      <x:c r="Z144" s="297"/>
    </x:row>
    <x:row r="145">
      <x:c r="A145" s="297"/>
      <x:c r="B145" s="298"/>
      <x:c r="C145" s="297"/>
      <x:c r="D145" s="297"/>
      <x:c r="E145" s="297"/>
      <x:c r="F145" s="297"/>
      <x:c r="G145" s="297"/>
      <x:c r="H145" s="299"/>
      <x:c r="I145" s="299"/>
      <x:c r="J145" s="297"/>
      <x:c r="K145" s="300"/>
      <x:c r="L145" s="297"/>
      <x:c r="M145" s="301"/>
      <x:c r="N145" s="297"/>
      <x:c r="O145" s="301"/>
      <x:c r="P145" s="297"/>
      <x:c r="Q145" s="297"/>
      <x:c r="R145" s="301"/>
      <x:c r="S145" s="302"/>
      <x:c r="T145" s="302"/>
      <x:c r="U145" s="303" t="str">
        <x:f>IF(OR(S145="",T145=""),"",IF(T145&lt;=S145,"Yes","No"))</x:f>
      </x:c>
      <x:c r="V145" s="297"/>
      <x:c r="W145" s="297"/>
      <x:c r="X145" s="297"/>
      <x:c r="Y145" s="297"/>
      <x:c r="Z145" s="297"/>
    </x:row>
    <x:row r="146">
      <x:c r="A146" s="297"/>
      <x:c r="B146" s="298"/>
      <x:c r="C146" s="297"/>
      <x:c r="D146" s="297"/>
      <x:c r="E146" s="297"/>
      <x:c r="F146" s="297"/>
      <x:c r="G146" s="297"/>
      <x:c r="H146" s="299"/>
      <x:c r="I146" s="299"/>
      <x:c r="J146" s="297"/>
      <x:c r="K146" s="300"/>
      <x:c r="L146" s="297"/>
      <x:c r="M146" s="301"/>
      <x:c r="N146" s="297"/>
      <x:c r="O146" s="301"/>
      <x:c r="P146" s="297"/>
      <x:c r="Q146" s="297"/>
      <x:c r="R146" s="301"/>
      <x:c r="S146" s="302"/>
      <x:c r="T146" s="302"/>
      <x:c r="U146" s="303" t="str">
        <x:f>IF(OR(S146="",T146=""),"",IF(T146&lt;=S146,"Yes","No"))</x:f>
      </x:c>
      <x:c r="V146" s="297"/>
      <x:c r="W146" s="297"/>
      <x:c r="X146" s="297"/>
      <x:c r="Y146" s="297"/>
      <x:c r="Z146" s="297"/>
    </x:row>
    <x:row r="147">
      <x:c r="A147" s="297"/>
      <x:c r="B147" s="298"/>
      <x:c r="C147" s="297"/>
      <x:c r="D147" s="297"/>
      <x:c r="E147" s="297"/>
      <x:c r="F147" s="297"/>
      <x:c r="G147" s="297"/>
      <x:c r="H147" s="299"/>
      <x:c r="I147" s="299"/>
      <x:c r="J147" s="297"/>
      <x:c r="K147" s="300"/>
      <x:c r="L147" s="297"/>
      <x:c r="M147" s="301"/>
      <x:c r="N147" s="297"/>
      <x:c r="O147" s="301"/>
      <x:c r="P147" s="297"/>
      <x:c r="Q147" s="297"/>
      <x:c r="R147" s="301"/>
      <x:c r="S147" s="302"/>
      <x:c r="T147" s="302"/>
      <x:c r="U147" s="303" t="str">
        <x:f>IF(OR(S147="",T147=""),"",IF(T147&lt;=S147,"Yes","No"))</x:f>
      </x:c>
      <x:c r="V147" s="297"/>
      <x:c r="W147" s="297"/>
      <x:c r="X147" s="297"/>
      <x:c r="Y147" s="297"/>
      <x:c r="Z147" s="297"/>
    </x:row>
    <x:row r="148">
      <x:c r="A148" s="297"/>
      <x:c r="B148" s="298"/>
      <x:c r="C148" s="297"/>
      <x:c r="D148" s="297"/>
      <x:c r="E148" s="297"/>
      <x:c r="F148" s="297"/>
      <x:c r="G148" s="297"/>
      <x:c r="H148" s="299"/>
      <x:c r="I148" s="299"/>
      <x:c r="J148" s="297"/>
      <x:c r="K148" s="300"/>
      <x:c r="L148" s="297"/>
      <x:c r="M148" s="301"/>
      <x:c r="N148" s="297"/>
      <x:c r="O148" s="301"/>
      <x:c r="P148" s="297"/>
      <x:c r="Q148" s="297"/>
      <x:c r="R148" s="301"/>
      <x:c r="S148" s="302"/>
      <x:c r="T148" s="302"/>
      <x:c r="U148" s="303" t="str">
        <x:f>IF(OR(S148="",T148=""),"",IF(T148&lt;=S148,"Yes","No"))</x:f>
      </x:c>
      <x:c r="V148" s="297"/>
      <x:c r="W148" s="297"/>
      <x:c r="X148" s="297"/>
      <x:c r="Y148" s="297"/>
      <x:c r="Z148" s="297"/>
    </x:row>
    <x:row r="149">
      <x:c r="A149" s="297"/>
      <x:c r="B149" s="298"/>
      <x:c r="C149" s="297"/>
      <x:c r="D149" s="297"/>
      <x:c r="E149" s="297"/>
      <x:c r="F149" s="297"/>
      <x:c r="G149" s="297"/>
      <x:c r="H149" s="299"/>
      <x:c r="I149" s="299"/>
      <x:c r="J149" s="297"/>
      <x:c r="K149" s="300"/>
      <x:c r="L149" s="297"/>
      <x:c r="M149" s="301"/>
      <x:c r="N149" s="297"/>
      <x:c r="O149" s="301"/>
      <x:c r="P149" s="297"/>
      <x:c r="Q149" s="297"/>
      <x:c r="R149" s="301"/>
      <x:c r="S149" s="302"/>
      <x:c r="T149" s="302"/>
      <x:c r="U149" s="303" t="str">
        <x:f>IF(OR(S149="",T149=""),"",IF(T149&lt;=S149,"Yes","No"))</x:f>
      </x:c>
      <x:c r="V149" s="297"/>
      <x:c r="W149" s="297"/>
      <x:c r="X149" s="297"/>
      <x:c r="Y149" s="297"/>
      <x:c r="Z149" s="297"/>
    </x:row>
    <x:row r="150">
      <x:c r="A150" s="297"/>
      <x:c r="B150" s="298"/>
      <x:c r="C150" s="297"/>
      <x:c r="D150" s="297"/>
      <x:c r="E150" s="297"/>
      <x:c r="F150" s="297"/>
      <x:c r="G150" s="297"/>
      <x:c r="H150" s="299"/>
      <x:c r="I150" s="299"/>
      <x:c r="J150" s="297"/>
      <x:c r="K150" s="300"/>
      <x:c r="L150" s="297"/>
      <x:c r="M150" s="301"/>
      <x:c r="N150" s="297"/>
      <x:c r="O150" s="301"/>
      <x:c r="P150" s="297"/>
      <x:c r="Q150" s="297"/>
      <x:c r="R150" s="301"/>
      <x:c r="S150" s="302"/>
      <x:c r="T150" s="302"/>
      <x:c r="U150" s="303" t="str">
        <x:f>IF(OR(S150="",T150=""),"",IF(T150&lt;=S150,"Yes","No"))</x:f>
      </x:c>
      <x:c r="V150" s="297"/>
      <x:c r="W150" s="297"/>
      <x:c r="X150" s="297"/>
      <x:c r="Y150" s="297"/>
      <x:c r="Z150" s="297"/>
    </x:row>
    <x:row r="151">
      <x:c r="A151" s="297"/>
      <x:c r="B151" s="298"/>
      <x:c r="C151" s="297"/>
      <x:c r="D151" s="297"/>
      <x:c r="E151" s="297"/>
      <x:c r="F151" s="297"/>
      <x:c r="G151" s="297"/>
      <x:c r="H151" s="299"/>
      <x:c r="I151" s="299"/>
      <x:c r="J151" s="297"/>
      <x:c r="K151" s="300"/>
      <x:c r="L151" s="297"/>
      <x:c r="M151" s="301"/>
      <x:c r="N151" s="297"/>
      <x:c r="O151" s="301"/>
      <x:c r="P151" s="297"/>
      <x:c r="Q151" s="297"/>
      <x:c r="R151" s="301"/>
      <x:c r="S151" s="302"/>
      <x:c r="T151" s="302"/>
      <x:c r="U151" s="303" t="str">
        <x:f>IF(OR(S151="",T151=""),"",IF(T151&lt;=S151,"Yes","No"))</x:f>
      </x:c>
      <x:c r="V151" s="297"/>
      <x:c r="W151" s="297"/>
      <x:c r="X151" s="297"/>
      <x:c r="Y151" s="297"/>
      <x:c r="Z151" s="297"/>
    </x:row>
    <x:row r="152">
      <x:c r="A152" s="297"/>
      <x:c r="B152" s="298"/>
      <x:c r="C152" s="297"/>
      <x:c r="D152" s="297"/>
      <x:c r="E152" s="297"/>
      <x:c r="F152" s="297"/>
      <x:c r="G152" s="297"/>
      <x:c r="H152" s="299"/>
      <x:c r="I152" s="299"/>
      <x:c r="J152" s="297"/>
      <x:c r="K152" s="300"/>
      <x:c r="L152" s="297"/>
      <x:c r="M152" s="301"/>
      <x:c r="N152" s="297"/>
      <x:c r="O152" s="301"/>
      <x:c r="P152" s="297"/>
      <x:c r="Q152" s="297"/>
      <x:c r="R152" s="301"/>
      <x:c r="S152" s="302"/>
      <x:c r="T152" s="302"/>
      <x:c r="U152" s="303" t="str">
        <x:f>IF(OR(S152="",T152=""),"",IF(T152&lt;=S152,"Yes","No"))</x:f>
      </x:c>
      <x:c r="V152" s="297"/>
      <x:c r="W152" s="297"/>
      <x:c r="X152" s="297"/>
      <x:c r="Y152" s="297"/>
      <x:c r="Z152" s="297"/>
    </x:row>
    <x:row r="153">
      <x:c r="A153" s="297"/>
      <x:c r="B153" s="298"/>
      <x:c r="C153" s="297"/>
      <x:c r="D153" s="297"/>
      <x:c r="E153" s="297"/>
      <x:c r="F153" s="297"/>
      <x:c r="G153" s="297"/>
      <x:c r="H153" s="299"/>
      <x:c r="I153" s="299"/>
      <x:c r="J153" s="297"/>
      <x:c r="K153" s="300"/>
      <x:c r="L153" s="297"/>
      <x:c r="M153" s="301"/>
      <x:c r="N153" s="297"/>
      <x:c r="O153" s="301"/>
      <x:c r="P153" s="297"/>
      <x:c r="Q153" s="297"/>
      <x:c r="R153" s="301"/>
      <x:c r="S153" s="302"/>
      <x:c r="T153" s="302"/>
      <x:c r="U153" s="303" t="str">
        <x:f>IF(OR(S153="",T153=""),"",IF(T153&lt;=S153,"Yes","No"))</x:f>
      </x:c>
      <x:c r="V153" s="297"/>
      <x:c r="W153" s="297"/>
      <x:c r="X153" s="297"/>
      <x:c r="Y153" s="297"/>
      <x:c r="Z153" s="297"/>
    </x:row>
    <x:row r="154">
      <x:c r="A154" s="297"/>
      <x:c r="B154" s="298"/>
      <x:c r="C154" s="297"/>
      <x:c r="D154" s="297"/>
      <x:c r="E154" s="297"/>
      <x:c r="F154" s="297"/>
      <x:c r="G154" s="297"/>
      <x:c r="H154" s="299"/>
      <x:c r="I154" s="299"/>
      <x:c r="J154" s="297"/>
      <x:c r="K154" s="300"/>
      <x:c r="L154" s="297"/>
      <x:c r="M154" s="301"/>
      <x:c r="N154" s="297"/>
      <x:c r="O154" s="301"/>
      <x:c r="P154" s="297"/>
      <x:c r="Q154" s="297"/>
      <x:c r="R154" s="301"/>
      <x:c r="S154" s="302"/>
      <x:c r="T154" s="302"/>
      <x:c r="U154" s="303" t="str">
        <x:f>IF(OR(S154="",T154=""),"",IF(T154&lt;=S154,"Yes","No"))</x:f>
      </x:c>
      <x:c r="V154" s="297"/>
      <x:c r="W154" s="297"/>
      <x:c r="X154" s="297"/>
      <x:c r="Y154" s="297"/>
      <x:c r="Z154" s="297"/>
    </x:row>
    <x:row r="155">
      <x:c r="A155" s="297"/>
      <x:c r="B155" s="298"/>
      <x:c r="C155" s="297"/>
      <x:c r="D155" s="297"/>
      <x:c r="E155" s="297"/>
      <x:c r="F155" s="297"/>
      <x:c r="G155" s="297"/>
      <x:c r="H155" s="299"/>
      <x:c r="I155" s="299"/>
      <x:c r="J155" s="297"/>
      <x:c r="K155" s="300"/>
      <x:c r="L155" s="297"/>
      <x:c r="M155" s="301"/>
      <x:c r="N155" s="297"/>
      <x:c r="O155" s="301"/>
      <x:c r="P155" s="297"/>
      <x:c r="Q155" s="297"/>
      <x:c r="R155" s="301"/>
      <x:c r="S155" s="302"/>
      <x:c r="T155" s="302"/>
      <x:c r="U155" s="303" t="str">
        <x:f>IF(OR(S155="",T155=""),"",IF(T155&lt;=S155,"Yes","No"))</x:f>
      </x:c>
      <x:c r="V155" s="297"/>
      <x:c r="W155" s="297"/>
      <x:c r="X155" s="297"/>
      <x:c r="Y155" s="297"/>
      <x:c r="Z155" s="297"/>
    </x:row>
    <x:row r="156">
      <x:c r="A156" s="297"/>
      <x:c r="B156" s="298"/>
      <x:c r="C156" s="297"/>
      <x:c r="D156" s="297"/>
      <x:c r="E156" s="297"/>
      <x:c r="F156" s="297"/>
      <x:c r="G156" s="297"/>
      <x:c r="H156" s="299"/>
      <x:c r="I156" s="299"/>
      <x:c r="J156" s="297"/>
      <x:c r="K156" s="300"/>
      <x:c r="L156" s="297"/>
      <x:c r="M156" s="301"/>
      <x:c r="N156" s="297"/>
      <x:c r="O156" s="301"/>
      <x:c r="P156" s="297"/>
      <x:c r="Q156" s="297"/>
      <x:c r="R156" s="301"/>
      <x:c r="S156" s="302"/>
      <x:c r="T156" s="302"/>
      <x:c r="U156" s="303" t="str">
        <x:f>IF(OR(S156="",T156=""),"",IF(T156&lt;=S156,"Yes","No"))</x:f>
      </x:c>
      <x:c r="V156" s="297"/>
      <x:c r="W156" s="297"/>
      <x:c r="X156" s="297"/>
      <x:c r="Y156" s="297"/>
      <x:c r="Z156" s="297"/>
    </x:row>
    <x:row r="157">
      <x:c r="A157" s="297"/>
      <x:c r="B157" s="298"/>
      <x:c r="C157" s="297"/>
      <x:c r="D157" s="297"/>
      <x:c r="E157" s="297"/>
      <x:c r="F157" s="297"/>
      <x:c r="G157" s="297"/>
      <x:c r="H157" s="299"/>
      <x:c r="I157" s="299"/>
      <x:c r="J157" s="297"/>
      <x:c r="K157" s="300"/>
      <x:c r="L157" s="297"/>
      <x:c r="M157" s="301"/>
      <x:c r="N157" s="297"/>
      <x:c r="O157" s="301"/>
      <x:c r="P157" s="297"/>
      <x:c r="Q157" s="297"/>
      <x:c r="R157" s="301"/>
      <x:c r="S157" s="302"/>
      <x:c r="T157" s="302"/>
      <x:c r="U157" s="303" t="str">
        <x:f>IF(OR(S157="",T157=""),"",IF(T157&lt;=S157,"Yes","No"))</x:f>
      </x:c>
      <x:c r="V157" s="297"/>
      <x:c r="W157" s="297"/>
      <x:c r="X157" s="297"/>
      <x:c r="Y157" s="297"/>
      <x:c r="Z157" s="297"/>
    </x:row>
    <x:row r="158">
      <x:c r="A158" s="297"/>
      <x:c r="B158" s="298"/>
      <x:c r="C158" s="297"/>
      <x:c r="D158" s="297"/>
      <x:c r="E158" s="297"/>
      <x:c r="F158" s="297"/>
      <x:c r="G158" s="297"/>
      <x:c r="H158" s="299"/>
      <x:c r="I158" s="299"/>
      <x:c r="J158" s="297"/>
      <x:c r="K158" s="300"/>
      <x:c r="L158" s="297"/>
      <x:c r="M158" s="301"/>
      <x:c r="N158" s="297"/>
      <x:c r="O158" s="301"/>
      <x:c r="P158" s="297"/>
      <x:c r="Q158" s="297"/>
      <x:c r="R158" s="301"/>
      <x:c r="S158" s="302"/>
      <x:c r="T158" s="302"/>
      <x:c r="U158" s="303" t="str">
        <x:f>IF(OR(S158="",T158=""),"",IF(T158&lt;=S158,"Yes","No"))</x:f>
      </x:c>
      <x:c r="V158" s="297"/>
      <x:c r="W158" s="297"/>
      <x:c r="X158" s="297"/>
      <x:c r="Y158" s="297"/>
      <x:c r="Z158" s="297"/>
    </x:row>
    <x:row r="159">
      <x:c r="A159" s="297"/>
      <x:c r="B159" s="298"/>
      <x:c r="C159" s="297"/>
      <x:c r="D159" s="297"/>
      <x:c r="E159" s="297"/>
      <x:c r="F159" s="297"/>
      <x:c r="G159" s="297"/>
      <x:c r="H159" s="299"/>
      <x:c r="I159" s="299"/>
      <x:c r="J159" s="297"/>
      <x:c r="K159" s="300"/>
      <x:c r="L159" s="297"/>
      <x:c r="M159" s="301"/>
      <x:c r="N159" s="297"/>
      <x:c r="O159" s="301"/>
      <x:c r="P159" s="297"/>
      <x:c r="Q159" s="297"/>
      <x:c r="R159" s="301"/>
      <x:c r="S159" s="302"/>
      <x:c r="T159" s="302"/>
      <x:c r="U159" s="303" t="str">
        <x:f>IF(OR(S159="",T159=""),"",IF(T159&lt;=S159,"Yes","No"))</x:f>
      </x:c>
      <x:c r="V159" s="297"/>
      <x:c r="W159" s="297"/>
      <x:c r="X159" s="297"/>
      <x:c r="Y159" s="297"/>
      <x:c r="Z159" s="297"/>
    </x:row>
    <x:row r="160">
      <x:c r="A160" s="297"/>
      <x:c r="B160" s="298"/>
      <x:c r="C160" s="297"/>
      <x:c r="D160" s="297"/>
      <x:c r="E160" s="297"/>
      <x:c r="F160" s="297"/>
      <x:c r="G160" s="297"/>
      <x:c r="H160" s="299"/>
      <x:c r="I160" s="299"/>
      <x:c r="J160" s="297"/>
      <x:c r="K160" s="300"/>
      <x:c r="L160" s="297"/>
      <x:c r="M160" s="301"/>
      <x:c r="N160" s="297"/>
      <x:c r="O160" s="301"/>
      <x:c r="P160" s="297"/>
      <x:c r="Q160" s="297"/>
      <x:c r="R160" s="301"/>
      <x:c r="S160" s="302"/>
      <x:c r="T160" s="302"/>
      <x:c r="U160" s="303" t="str">
        <x:f>IF(OR(S160="",T160=""),"",IF(T160&lt;=S160,"Yes","No"))</x:f>
      </x:c>
      <x:c r="V160" s="297"/>
      <x:c r="W160" s="297"/>
      <x:c r="X160" s="297"/>
      <x:c r="Y160" s="297"/>
      <x:c r="Z160" s="297"/>
    </x:row>
    <x:row r="161">
      <x:c r="A161" s="297"/>
      <x:c r="B161" s="298"/>
      <x:c r="C161" s="297"/>
      <x:c r="D161" s="297"/>
      <x:c r="E161" s="297"/>
      <x:c r="F161" s="297"/>
      <x:c r="G161" s="297"/>
      <x:c r="H161" s="299"/>
      <x:c r="I161" s="299"/>
      <x:c r="J161" s="297"/>
      <x:c r="K161" s="300"/>
      <x:c r="L161" s="297"/>
      <x:c r="M161" s="301"/>
      <x:c r="N161" s="297"/>
      <x:c r="O161" s="301"/>
      <x:c r="P161" s="297"/>
      <x:c r="Q161" s="297"/>
      <x:c r="R161" s="301"/>
      <x:c r="S161" s="302"/>
      <x:c r="T161" s="302"/>
      <x:c r="U161" s="303" t="str">
        <x:f>IF(OR(S161="",T161=""),"",IF(T161&lt;=S161,"Yes","No"))</x:f>
      </x:c>
      <x:c r="V161" s="297"/>
      <x:c r="W161" s="297"/>
      <x:c r="X161" s="297"/>
      <x:c r="Y161" s="297"/>
      <x:c r="Z161" s="297"/>
    </x:row>
    <x:row r="162">
      <x:c r="A162" s="297"/>
      <x:c r="B162" s="298"/>
      <x:c r="C162" s="297"/>
      <x:c r="D162" s="297"/>
      <x:c r="E162" s="297"/>
      <x:c r="F162" s="297"/>
      <x:c r="G162" s="297"/>
      <x:c r="H162" s="299"/>
      <x:c r="I162" s="299"/>
      <x:c r="J162" s="297"/>
      <x:c r="K162" s="300"/>
      <x:c r="L162" s="297"/>
      <x:c r="M162" s="301"/>
      <x:c r="N162" s="297"/>
      <x:c r="O162" s="301"/>
      <x:c r="P162" s="297"/>
      <x:c r="Q162" s="297"/>
      <x:c r="R162" s="301"/>
      <x:c r="S162" s="302"/>
      <x:c r="T162" s="302"/>
      <x:c r="U162" s="303" t="str">
        <x:f>IF(OR(S162="",T162=""),"",IF(T162&lt;=S162,"Yes","No"))</x:f>
      </x:c>
      <x:c r="V162" s="297"/>
      <x:c r="W162" s="297"/>
      <x:c r="X162" s="297"/>
      <x:c r="Y162" s="297"/>
      <x:c r="Z162" s="297"/>
    </x:row>
    <x:row r="163">
      <x:c r="A163" s="297"/>
      <x:c r="B163" s="298"/>
      <x:c r="C163" s="297"/>
      <x:c r="D163" s="297"/>
      <x:c r="E163" s="297"/>
      <x:c r="F163" s="297"/>
      <x:c r="G163" s="297"/>
      <x:c r="H163" s="299"/>
      <x:c r="I163" s="299"/>
      <x:c r="J163" s="297"/>
      <x:c r="K163" s="300"/>
      <x:c r="L163" s="297"/>
      <x:c r="M163" s="301"/>
      <x:c r="N163" s="297"/>
      <x:c r="O163" s="301"/>
      <x:c r="P163" s="297"/>
      <x:c r="Q163" s="297"/>
      <x:c r="R163" s="301"/>
      <x:c r="S163" s="302"/>
      <x:c r="T163" s="302"/>
      <x:c r="U163" s="303" t="str">
        <x:f>IF(OR(S163="",T163=""),"",IF(T163&lt;=S163,"Yes","No"))</x:f>
      </x:c>
      <x:c r="V163" s="297"/>
      <x:c r="W163" s="297"/>
      <x:c r="X163" s="297"/>
      <x:c r="Y163" s="297"/>
      <x:c r="Z163" s="297"/>
    </x:row>
    <x:row r="164">
      <x:c r="A164" s="297"/>
      <x:c r="B164" s="298"/>
      <x:c r="C164" s="297"/>
      <x:c r="D164" s="297"/>
      <x:c r="E164" s="297"/>
      <x:c r="F164" s="297"/>
      <x:c r="G164" s="297"/>
      <x:c r="H164" s="299"/>
      <x:c r="I164" s="299"/>
      <x:c r="J164" s="297"/>
      <x:c r="K164" s="300"/>
      <x:c r="L164" s="297"/>
      <x:c r="M164" s="301"/>
      <x:c r="N164" s="297"/>
      <x:c r="O164" s="301"/>
      <x:c r="P164" s="297"/>
      <x:c r="Q164" s="297"/>
      <x:c r="R164" s="301"/>
      <x:c r="S164" s="302"/>
      <x:c r="T164" s="302"/>
      <x:c r="U164" s="303" t="str">
        <x:f>IF(OR(S164="",T164=""),"",IF(T164&lt;=S164,"Yes","No"))</x:f>
      </x:c>
      <x:c r="V164" s="297"/>
      <x:c r="W164" s="297"/>
      <x:c r="X164" s="297"/>
      <x:c r="Y164" s="297"/>
      <x:c r="Z164" s="297"/>
    </x:row>
    <x:row r="165">
      <x:c r="A165" s="297"/>
      <x:c r="B165" s="298"/>
      <x:c r="C165" s="297"/>
      <x:c r="D165" s="297"/>
      <x:c r="E165" s="297"/>
      <x:c r="F165" s="297"/>
      <x:c r="G165" s="297"/>
      <x:c r="H165" s="299"/>
      <x:c r="I165" s="299"/>
      <x:c r="J165" s="297"/>
      <x:c r="K165" s="300"/>
      <x:c r="L165" s="297"/>
      <x:c r="M165" s="301"/>
      <x:c r="N165" s="297"/>
      <x:c r="O165" s="301"/>
      <x:c r="P165" s="297"/>
      <x:c r="Q165" s="297"/>
      <x:c r="R165" s="301"/>
      <x:c r="S165" s="302"/>
      <x:c r="T165" s="302"/>
      <x:c r="U165" s="303" t="str">
        <x:f>IF(OR(S165="",T165=""),"",IF(T165&lt;=S165,"Yes","No"))</x:f>
      </x:c>
      <x:c r="V165" s="297"/>
      <x:c r="W165" s="297"/>
      <x:c r="X165" s="297"/>
      <x:c r="Y165" s="297"/>
      <x:c r="Z165" s="297"/>
    </x:row>
    <x:row r="166">
      <x:c r="A166" s="297"/>
      <x:c r="B166" s="298"/>
      <x:c r="C166" s="297"/>
      <x:c r="D166" s="297"/>
      <x:c r="E166" s="297"/>
      <x:c r="F166" s="297"/>
      <x:c r="G166" s="297"/>
      <x:c r="H166" s="299"/>
      <x:c r="I166" s="299"/>
      <x:c r="J166" s="297"/>
      <x:c r="K166" s="300"/>
      <x:c r="L166" s="297"/>
      <x:c r="M166" s="301"/>
      <x:c r="N166" s="297"/>
      <x:c r="O166" s="301"/>
      <x:c r="P166" s="297"/>
      <x:c r="Q166" s="297"/>
      <x:c r="R166" s="301"/>
      <x:c r="S166" s="302"/>
      <x:c r="T166" s="302"/>
      <x:c r="U166" s="303" t="str">
        <x:f>IF(OR(S166="",T166=""),"",IF(T166&lt;=S166,"Yes","No"))</x:f>
      </x:c>
      <x:c r="V166" s="297"/>
      <x:c r="W166" s="297"/>
      <x:c r="X166" s="297"/>
      <x:c r="Y166" s="297"/>
      <x:c r="Z166" s="297"/>
    </x:row>
    <x:row r="167">
      <x:c r="A167" s="297"/>
      <x:c r="B167" s="298"/>
      <x:c r="C167" s="297"/>
      <x:c r="D167" s="297"/>
      <x:c r="E167" s="297"/>
      <x:c r="F167" s="297"/>
      <x:c r="G167" s="297"/>
      <x:c r="H167" s="299"/>
      <x:c r="I167" s="299"/>
      <x:c r="J167" s="297"/>
      <x:c r="K167" s="300"/>
      <x:c r="L167" s="297"/>
      <x:c r="M167" s="301"/>
      <x:c r="N167" s="297"/>
      <x:c r="O167" s="301"/>
      <x:c r="P167" s="297"/>
      <x:c r="Q167" s="297"/>
      <x:c r="R167" s="301"/>
      <x:c r="S167" s="302"/>
      <x:c r="T167" s="302"/>
      <x:c r="U167" s="303" t="str">
        <x:f>IF(OR(S167="",T167=""),"",IF(T167&lt;=S167,"Yes","No"))</x:f>
      </x:c>
      <x:c r="V167" s="297"/>
      <x:c r="W167" s="297"/>
      <x:c r="X167" s="297"/>
      <x:c r="Y167" s="297"/>
      <x:c r="Z167" s="297"/>
    </x:row>
    <x:row r="168">
      <x:c r="A168" s="297"/>
      <x:c r="B168" s="298"/>
      <x:c r="C168" s="297"/>
      <x:c r="D168" s="297"/>
      <x:c r="E168" s="297"/>
      <x:c r="F168" s="297"/>
      <x:c r="G168" s="297"/>
      <x:c r="H168" s="299"/>
      <x:c r="I168" s="299"/>
      <x:c r="J168" s="297"/>
      <x:c r="K168" s="300"/>
      <x:c r="L168" s="297"/>
      <x:c r="M168" s="301"/>
      <x:c r="N168" s="297"/>
      <x:c r="O168" s="301"/>
      <x:c r="P168" s="297"/>
      <x:c r="Q168" s="297"/>
      <x:c r="R168" s="301"/>
      <x:c r="S168" s="302"/>
      <x:c r="T168" s="302"/>
      <x:c r="U168" s="303" t="str">
        <x:f>IF(OR(S168="",T168=""),"",IF(T168&lt;=S168,"Yes","No"))</x:f>
      </x:c>
      <x:c r="V168" s="297"/>
      <x:c r="W168" s="297"/>
      <x:c r="X168" s="297"/>
      <x:c r="Y168" s="297"/>
      <x:c r="Z168" s="297"/>
    </x:row>
    <x:row r="169">
      <x:c r="A169" s="297"/>
      <x:c r="B169" s="298"/>
      <x:c r="C169" s="297"/>
      <x:c r="D169" s="297"/>
      <x:c r="E169" s="297"/>
      <x:c r="F169" s="297"/>
      <x:c r="G169" s="297"/>
      <x:c r="H169" s="299"/>
      <x:c r="I169" s="299"/>
      <x:c r="J169" s="297"/>
      <x:c r="K169" s="300"/>
      <x:c r="L169" s="297"/>
      <x:c r="M169" s="301"/>
      <x:c r="N169" s="297"/>
      <x:c r="O169" s="301"/>
      <x:c r="P169" s="297"/>
      <x:c r="Q169" s="297"/>
      <x:c r="R169" s="301"/>
      <x:c r="S169" s="302"/>
      <x:c r="T169" s="302"/>
      <x:c r="U169" s="303" t="str">
        <x:f>IF(OR(S169="",T169=""),"",IF(T169&lt;=S169,"Yes","No"))</x:f>
      </x:c>
      <x:c r="V169" s="297"/>
      <x:c r="W169" s="297"/>
      <x:c r="X169" s="297"/>
      <x:c r="Y169" s="297"/>
      <x:c r="Z169" s="297"/>
    </x:row>
    <x:row r="170">
      <x:c r="A170" s="297"/>
      <x:c r="B170" s="298"/>
      <x:c r="C170" s="297"/>
      <x:c r="D170" s="297"/>
      <x:c r="E170" s="297"/>
      <x:c r="F170" s="297"/>
      <x:c r="G170" s="297"/>
      <x:c r="H170" s="299"/>
      <x:c r="I170" s="299"/>
      <x:c r="J170" s="297"/>
      <x:c r="K170" s="300"/>
      <x:c r="L170" s="297"/>
      <x:c r="M170" s="301"/>
      <x:c r="N170" s="297"/>
      <x:c r="O170" s="301"/>
      <x:c r="P170" s="297"/>
      <x:c r="Q170" s="297"/>
      <x:c r="R170" s="301"/>
      <x:c r="S170" s="302"/>
      <x:c r="T170" s="302"/>
      <x:c r="U170" s="303" t="str">
        <x:f>IF(OR(S170="",T170=""),"",IF(T170&lt;=S170,"Yes","No"))</x:f>
      </x:c>
      <x:c r="V170" s="297"/>
      <x:c r="W170" s="297"/>
      <x:c r="X170" s="297"/>
      <x:c r="Y170" s="297"/>
      <x:c r="Z170" s="297"/>
    </x:row>
    <x:row r="171">
      <x:c r="A171" s="297"/>
      <x:c r="B171" s="298"/>
      <x:c r="C171" s="297"/>
      <x:c r="D171" s="297"/>
      <x:c r="E171" s="297"/>
      <x:c r="F171" s="297"/>
      <x:c r="G171" s="297"/>
      <x:c r="H171" s="299"/>
      <x:c r="I171" s="299"/>
      <x:c r="J171" s="297"/>
      <x:c r="K171" s="300"/>
      <x:c r="L171" s="297"/>
      <x:c r="M171" s="301"/>
      <x:c r="N171" s="297"/>
      <x:c r="O171" s="301"/>
      <x:c r="P171" s="297"/>
      <x:c r="Q171" s="297"/>
      <x:c r="R171" s="301"/>
      <x:c r="S171" s="302"/>
      <x:c r="T171" s="302"/>
      <x:c r="U171" s="303" t="str">
        <x:f>IF(OR(S171="",T171=""),"",IF(T171&lt;=S171,"Yes","No"))</x:f>
      </x:c>
      <x:c r="V171" s="297"/>
      <x:c r="W171" s="297"/>
      <x:c r="X171" s="297"/>
      <x:c r="Y171" s="297"/>
      <x:c r="Z171" s="297"/>
    </x:row>
    <x:row r="172">
      <x:c r="A172" s="297"/>
      <x:c r="B172" s="298"/>
      <x:c r="C172" s="297"/>
      <x:c r="D172" s="297"/>
      <x:c r="E172" s="297"/>
      <x:c r="F172" s="297"/>
      <x:c r="G172" s="297"/>
      <x:c r="H172" s="299"/>
      <x:c r="I172" s="299"/>
      <x:c r="J172" s="297"/>
      <x:c r="K172" s="300"/>
      <x:c r="L172" s="297"/>
      <x:c r="M172" s="301"/>
      <x:c r="N172" s="297"/>
      <x:c r="O172" s="301"/>
      <x:c r="P172" s="297"/>
      <x:c r="Q172" s="297"/>
      <x:c r="R172" s="301"/>
      <x:c r="S172" s="302"/>
      <x:c r="T172" s="302"/>
      <x:c r="U172" s="303" t="str">
        <x:f>IF(OR(S172="",T172=""),"",IF(T172&lt;=S172,"Yes","No"))</x:f>
      </x:c>
      <x:c r="V172" s="297"/>
      <x:c r="W172" s="297"/>
      <x:c r="X172" s="297"/>
      <x:c r="Y172" s="297"/>
      <x:c r="Z172" s="297"/>
    </x:row>
    <x:row r="173">
      <x:c r="A173" s="297"/>
      <x:c r="B173" s="298"/>
      <x:c r="C173" s="297"/>
      <x:c r="D173" s="297"/>
      <x:c r="E173" s="297"/>
      <x:c r="F173" s="297"/>
      <x:c r="G173" s="297"/>
      <x:c r="H173" s="299"/>
      <x:c r="I173" s="299"/>
      <x:c r="J173" s="297"/>
      <x:c r="K173" s="300"/>
      <x:c r="L173" s="297"/>
      <x:c r="M173" s="301"/>
      <x:c r="N173" s="297"/>
      <x:c r="O173" s="301"/>
      <x:c r="P173" s="297"/>
      <x:c r="Q173" s="297"/>
      <x:c r="R173" s="301"/>
      <x:c r="S173" s="302"/>
      <x:c r="T173" s="302"/>
      <x:c r="U173" s="303" t="str">
        <x:f>IF(OR(S173="",T173=""),"",IF(T173&lt;=S173,"Yes","No"))</x:f>
      </x:c>
      <x:c r="V173" s="297"/>
      <x:c r="W173" s="297"/>
      <x:c r="X173" s="297"/>
      <x:c r="Y173" s="297"/>
      <x:c r="Z173" s="297"/>
    </x:row>
    <x:row r="174">
      <x:c r="A174" s="297"/>
      <x:c r="B174" s="298"/>
      <x:c r="C174" s="297"/>
      <x:c r="D174" s="297"/>
      <x:c r="E174" s="297"/>
      <x:c r="F174" s="297"/>
      <x:c r="G174" s="297"/>
      <x:c r="H174" s="299"/>
      <x:c r="I174" s="299"/>
      <x:c r="J174" s="297"/>
      <x:c r="K174" s="300"/>
      <x:c r="L174" s="297"/>
      <x:c r="M174" s="301"/>
      <x:c r="N174" s="297"/>
      <x:c r="O174" s="301"/>
      <x:c r="P174" s="297"/>
      <x:c r="Q174" s="297"/>
      <x:c r="R174" s="301"/>
      <x:c r="S174" s="302"/>
      <x:c r="T174" s="302"/>
      <x:c r="U174" s="303" t="str">
        <x:f>IF(OR(S174="",T174=""),"",IF(T174&lt;=S174,"Yes","No"))</x:f>
      </x:c>
      <x:c r="V174" s="297"/>
      <x:c r="W174" s="297"/>
      <x:c r="X174" s="297"/>
      <x:c r="Y174" s="297"/>
      <x:c r="Z174" s="297"/>
    </x:row>
    <x:row r="175">
      <x:c r="A175" s="297"/>
      <x:c r="B175" s="298"/>
      <x:c r="C175" s="297"/>
      <x:c r="D175" s="297"/>
      <x:c r="E175" s="297"/>
      <x:c r="F175" s="297"/>
      <x:c r="G175" s="297"/>
      <x:c r="H175" s="299"/>
      <x:c r="I175" s="299"/>
      <x:c r="J175" s="297"/>
      <x:c r="K175" s="300"/>
      <x:c r="L175" s="297"/>
      <x:c r="M175" s="301"/>
      <x:c r="N175" s="297"/>
      <x:c r="O175" s="301"/>
      <x:c r="P175" s="297"/>
      <x:c r="Q175" s="297"/>
      <x:c r="R175" s="301"/>
      <x:c r="S175" s="302"/>
      <x:c r="T175" s="302"/>
      <x:c r="U175" s="303" t="str">
        <x:f>IF(OR(S175="",T175=""),"",IF(T175&lt;=S175,"Yes","No"))</x:f>
      </x:c>
      <x:c r="V175" s="297"/>
      <x:c r="W175" s="297"/>
      <x:c r="X175" s="297"/>
      <x:c r="Y175" s="297"/>
      <x:c r="Z175" s="297"/>
    </x:row>
    <x:row r="176">
      <x:c r="A176" s="297"/>
      <x:c r="B176" s="298"/>
      <x:c r="C176" s="297"/>
      <x:c r="D176" s="297"/>
      <x:c r="E176" s="297"/>
      <x:c r="F176" s="297"/>
      <x:c r="G176" s="297"/>
      <x:c r="H176" s="299"/>
      <x:c r="I176" s="299"/>
      <x:c r="J176" s="297"/>
      <x:c r="K176" s="300"/>
      <x:c r="L176" s="297"/>
      <x:c r="M176" s="301"/>
      <x:c r="N176" s="297"/>
      <x:c r="O176" s="301"/>
      <x:c r="P176" s="297"/>
      <x:c r="Q176" s="297"/>
      <x:c r="R176" s="301"/>
      <x:c r="S176" s="302"/>
      <x:c r="T176" s="302"/>
      <x:c r="U176" s="303" t="str">
        <x:f>IF(OR(S176="",T176=""),"",IF(T176&lt;=S176,"Yes","No"))</x:f>
      </x:c>
      <x:c r="V176" s="297"/>
      <x:c r="W176" s="297"/>
      <x:c r="X176" s="297"/>
      <x:c r="Y176" s="297"/>
      <x:c r="Z176" s="297"/>
    </x:row>
    <x:row r="177">
      <x:c r="A177" s="297"/>
      <x:c r="B177" s="298"/>
      <x:c r="C177" s="297"/>
      <x:c r="D177" s="297"/>
      <x:c r="E177" s="297"/>
      <x:c r="F177" s="297"/>
      <x:c r="G177" s="297"/>
      <x:c r="H177" s="299"/>
      <x:c r="I177" s="299"/>
      <x:c r="J177" s="297"/>
      <x:c r="K177" s="300"/>
      <x:c r="L177" s="297"/>
      <x:c r="M177" s="301"/>
      <x:c r="N177" s="297"/>
      <x:c r="O177" s="301"/>
      <x:c r="P177" s="297"/>
      <x:c r="Q177" s="297"/>
      <x:c r="R177" s="301"/>
      <x:c r="S177" s="302"/>
      <x:c r="T177" s="302"/>
      <x:c r="U177" s="303" t="str">
        <x:f>IF(OR(S177="",T177=""),"",IF(T177&lt;=S177,"Yes","No"))</x:f>
      </x:c>
      <x:c r="V177" s="297"/>
      <x:c r="W177" s="297"/>
      <x:c r="X177" s="297"/>
      <x:c r="Y177" s="297"/>
      <x:c r="Z177" s="297"/>
    </x:row>
    <x:row r="178">
      <x:c r="A178" s="297"/>
      <x:c r="B178" s="298"/>
      <x:c r="C178" s="297"/>
      <x:c r="D178" s="297"/>
      <x:c r="E178" s="297"/>
      <x:c r="F178" s="297"/>
      <x:c r="G178" s="297"/>
      <x:c r="H178" s="299"/>
      <x:c r="I178" s="299"/>
      <x:c r="J178" s="297"/>
      <x:c r="K178" s="300"/>
      <x:c r="L178" s="297"/>
      <x:c r="M178" s="301"/>
      <x:c r="N178" s="297"/>
      <x:c r="O178" s="301"/>
      <x:c r="P178" s="297"/>
      <x:c r="Q178" s="297"/>
      <x:c r="R178" s="301"/>
      <x:c r="S178" s="302"/>
      <x:c r="T178" s="302"/>
      <x:c r="U178" s="303" t="str">
        <x:f>IF(OR(S178="",T178=""),"",IF(T178&lt;=S178,"Yes","No"))</x:f>
      </x:c>
      <x:c r="V178" s="297"/>
      <x:c r="W178" s="297"/>
      <x:c r="X178" s="297"/>
      <x:c r="Y178" s="297"/>
      <x:c r="Z178" s="297"/>
    </x:row>
    <x:row r="179">
      <x:c r="A179" s="297"/>
      <x:c r="B179" s="298"/>
      <x:c r="C179" s="297"/>
      <x:c r="D179" s="297"/>
      <x:c r="E179" s="297"/>
      <x:c r="F179" s="297"/>
      <x:c r="G179" s="297"/>
      <x:c r="H179" s="299"/>
      <x:c r="I179" s="299"/>
      <x:c r="J179" s="297"/>
      <x:c r="K179" s="300"/>
      <x:c r="L179" s="297"/>
      <x:c r="M179" s="301"/>
      <x:c r="N179" s="297"/>
      <x:c r="O179" s="301"/>
      <x:c r="P179" s="297"/>
      <x:c r="Q179" s="297"/>
      <x:c r="R179" s="301"/>
      <x:c r="S179" s="302"/>
      <x:c r="T179" s="302"/>
      <x:c r="U179" s="303" t="str">
        <x:f>IF(OR(S179="",T179=""),"",IF(T179&lt;=S179,"Yes","No"))</x:f>
      </x:c>
      <x:c r="V179" s="297"/>
      <x:c r="W179" s="297"/>
      <x:c r="X179" s="297"/>
      <x:c r="Y179" s="297"/>
      <x:c r="Z179" s="297"/>
    </x:row>
    <x:row r="180">
      <x:c r="A180" s="297"/>
      <x:c r="B180" s="298"/>
      <x:c r="C180" s="297"/>
      <x:c r="D180" s="297"/>
      <x:c r="E180" s="297"/>
      <x:c r="F180" s="297"/>
      <x:c r="G180" s="297"/>
      <x:c r="H180" s="299"/>
      <x:c r="I180" s="299"/>
      <x:c r="J180" s="297"/>
      <x:c r="K180" s="300"/>
      <x:c r="L180" s="297"/>
      <x:c r="M180" s="301"/>
      <x:c r="N180" s="297"/>
      <x:c r="O180" s="301"/>
      <x:c r="P180" s="297"/>
      <x:c r="Q180" s="297"/>
      <x:c r="R180" s="301"/>
      <x:c r="S180" s="302"/>
      <x:c r="T180" s="302"/>
      <x:c r="U180" s="303" t="str">
        <x:f>IF(OR(S180="",T180=""),"",IF(T180&lt;=S180,"Yes","No"))</x:f>
      </x:c>
      <x:c r="V180" s="297"/>
      <x:c r="W180" s="297"/>
      <x:c r="X180" s="297"/>
      <x:c r="Y180" s="297"/>
      <x:c r="Z180" s="297"/>
    </x:row>
    <x:row r="181">
      <x:c r="A181" s="297"/>
      <x:c r="B181" s="298"/>
      <x:c r="C181" s="297"/>
      <x:c r="D181" s="297"/>
      <x:c r="E181" s="297"/>
      <x:c r="F181" s="297"/>
      <x:c r="G181" s="297"/>
      <x:c r="H181" s="299"/>
      <x:c r="I181" s="299"/>
      <x:c r="J181" s="297"/>
      <x:c r="K181" s="300"/>
      <x:c r="L181" s="297"/>
      <x:c r="M181" s="301"/>
      <x:c r="N181" s="297"/>
      <x:c r="O181" s="301"/>
      <x:c r="P181" s="297"/>
      <x:c r="Q181" s="297"/>
      <x:c r="R181" s="301"/>
      <x:c r="S181" s="302"/>
      <x:c r="T181" s="302"/>
      <x:c r="U181" s="303" t="str">
        <x:f>IF(OR(S181="",T181=""),"",IF(T181&lt;=S181,"Yes","No"))</x:f>
      </x:c>
      <x:c r="V181" s="297"/>
      <x:c r="W181" s="297"/>
      <x:c r="X181" s="297"/>
      <x:c r="Y181" s="297"/>
      <x:c r="Z181" s="297"/>
    </x:row>
    <x:row r="182">
      <x:c r="A182" s="297"/>
      <x:c r="B182" s="298"/>
      <x:c r="C182" s="297"/>
      <x:c r="D182" s="297"/>
      <x:c r="E182" s="297"/>
      <x:c r="F182" s="297"/>
      <x:c r="G182" s="297"/>
      <x:c r="H182" s="299"/>
      <x:c r="I182" s="299"/>
      <x:c r="J182" s="297"/>
      <x:c r="K182" s="300"/>
      <x:c r="L182" s="297"/>
      <x:c r="M182" s="301"/>
      <x:c r="N182" s="297"/>
      <x:c r="O182" s="301"/>
      <x:c r="P182" s="297"/>
      <x:c r="Q182" s="297"/>
      <x:c r="R182" s="301"/>
      <x:c r="S182" s="302"/>
      <x:c r="T182" s="302"/>
      <x:c r="U182" s="303" t="str">
        <x:f>IF(OR(S182="",T182=""),"",IF(T182&lt;=S182,"Yes","No"))</x:f>
      </x:c>
      <x:c r="V182" s="297"/>
      <x:c r="W182" s="297"/>
      <x:c r="X182" s="297"/>
      <x:c r="Y182" s="297"/>
      <x:c r="Z182" s="297"/>
    </x:row>
    <x:row r="183">
      <x:c r="A183" s="297"/>
      <x:c r="B183" s="298"/>
      <x:c r="C183" s="297"/>
      <x:c r="D183" s="297"/>
      <x:c r="E183" s="297"/>
      <x:c r="F183" s="297"/>
      <x:c r="G183" s="297"/>
      <x:c r="H183" s="299"/>
      <x:c r="I183" s="299"/>
      <x:c r="J183" s="297"/>
      <x:c r="K183" s="300"/>
      <x:c r="L183" s="297"/>
      <x:c r="M183" s="301"/>
      <x:c r="N183" s="297"/>
      <x:c r="O183" s="301"/>
      <x:c r="P183" s="297"/>
      <x:c r="Q183" s="297"/>
      <x:c r="R183" s="301"/>
      <x:c r="S183" s="302"/>
      <x:c r="T183" s="302"/>
      <x:c r="U183" s="303" t="str">
        <x:f>IF(OR(S183="",T183=""),"",IF(T183&lt;=S183,"Yes","No"))</x:f>
      </x:c>
      <x:c r="V183" s="297"/>
      <x:c r="W183" s="297"/>
      <x:c r="X183" s="297"/>
      <x:c r="Y183" s="297"/>
      <x:c r="Z183" s="297"/>
    </x:row>
    <x:row r="184">
      <x:c r="A184" s="297"/>
      <x:c r="B184" s="298"/>
      <x:c r="C184" s="297"/>
      <x:c r="D184" s="297"/>
      <x:c r="E184" s="297"/>
      <x:c r="F184" s="297"/>
      <x:c r="G184" s="297"/>
      <x:c r="H184" s="299"/>
      <x:c r="I184" s="299"/>
      <x:c r="J184" s="297"/>
      <x:c r="K184" s="300"/>
      <x:c r="L184" s="297"/>
      <x:c r="M184" s="301"/>
      <x:c r="N184" s="297"/>
      <x:c r="O184" s="301"/>
      <x:c r="P184" s="297"/>
      <x:c r="Q184" s="297"/>
      <x:c r="R184" s="301"/>
      <x:c r="S184" s="302"/>
      <x:c r="T184" s="302"/>
      <x:c r="U184" s="303" t="str">
        <x:f>IF(OR(S184="",T184=""),"",IF(T184&lt;=S184,"Yes","No"))</x:f>
      </x:c>
      <x:c r="V184" s="297"/>
      <x:c r="W184" s="297"/>
      <x:c r="X184" s="297"/>
      <x:c r="Y184" s="297"/>
      <x:c r="Z184" s="297"/>
    </x:row>
    <x:row r="185">
      <x:c r="A185" s="297"/>
      <x:c r="B185" s="298"/>
      <x:c r="C185" s="297"/>
      <x:c r="D185" s="297"/>
      <x:c r="E185" s="297"/>
      <x:c r="F185" s="297"/>
      <x:c r="G185" s="297"/>
      <x:c r="H185" s="299"/>
      <x:c r="I185" s="299"/>
      <x:c r="J185" s="297"/>
      <x:c r="K185" s="300"/>
      <x:c r="L185" s="297"/>
      <x:c r="M185" s="301"/>
      <x:c r="N185" s="297"/>
      <x:c r="O185" s="301"/>
      <x:c r="P185" s="297"/>
      <x:c r="Q185" s="297"/>
      <x:c r="R185" s="301"/>
      <x:c r="S185" s="302"/>
      <x:c r="T185" s="302"/>
      <x:c r="U185" s="303" t="str">
        <x:f>IF(OR(S185="",T185=""),"",IF(T185&lt;=S185,"Yes","No"))</x:f>
      </x:c>
      <x:c r="V185" s="297"/>
      <x:c r="W185" s="297"/>
      <x:c r="X185" s="297"/>
      <x:c r="Y185" s="297"/>
      <x:c r="Z185" s="297"/>
    </x:row>
    <x:row r="186">
      <x:c r="A186" s="297"/>
      <x:c r="B186" s="298"/>
      <x:c r="C186" s="297"/>
      <x:c r="D186" s="297"/>
      <x:c r="E186" s="297"/>
      <x:c r="F186" s="297"/>
      <x:c r="G186" s="297"/>
      <x:c r="H186" s="299"/>
      <x:c r="I186" s="299"/>
      <x:c r="J186" s="297"/>
      <x:c r="K186" s="300"/>
      <x:c r="L186" s="297"/>
      <x:c r="M186" s="301"/>
      <x:c r="N186" s="297"/>
      <x:c r="O186" s="301"/>
      <x:c r="P186" s="297"/>
      <x:c r="Q186" s="297"/>
      <x:c r="R186" s="301"/>
      <x:c r="S186" s="302"/>
      <x:c r="T186" s="302"/>
      <x:c r="U186" s="303" t="str">
        <x:f>IF(OR(S186="",T186=""),"",IF(T186&lt;=S186,"Yes","No"))</x:f>
      </x:c>
      <x:c r="V186" s="297"/>
      <x:c r="W186" s="297"/>
      <x:c r="X186" s="297"/>
      <x:c r="Y186" s="297"/>
      <x:c r="Z186" s="297"/>
    </x:row>
    <x:row r="187">
      <x:c r="A187" s="297"/>
      <x:c r="B187" s="298"/>
      <x:c r="C187" s="297"/>
      <x:c r="D187" s="297"/>
      <x:c r="E187" s="297"/>
      <x:c r="F187" s="297"/>
      <x:c r="G187" s="297"/>
      <x:c r="H187" s="299"/>
      <x:c r="I187" s="299"/>
      <x:c r="J187" s="297"/>
      <x:c r="K187" s="300"/>
      <x:c r="L187" s="297"/>
      <x:c r="M187" s="301"/>
      <x:c r="N187" s="297"/>
      <x:c r="O187" s="301"/>
      <x:c r="P187" s="297"/>
      <x:c r="Q187" s="297"/>
      <x:c r="R187" s="301"/>
      <x:c r="S187" s="302"/>
      <x:c r="T187" s="302"/>
      <x:c r="U187" s="303" t="str">
        <x:f>IF(OR(S187="",T187=""),"",IF(T187&lt;=S187,"Yes","No"))</x:f>
      </x:c>
      <x:c r="V187" s="297"/>
      <x:c r="W187" s="297"/>
      <x:c r="X187" s="297"/>
      <x:c r="Y187" s="297"/>
      <x:c r="Z187" s="297"/>
    </x:row>
    <x:row r="188">
      <x:c r="A188" s="297"/>
      <x:c r="B188" s="298"/>
      <x:c r="C188" s="297"/>
      <x:c r="D188" s="297"/>
      <x:c r="E188" s="297"/>
      <x:c r="F188" s="297"/>
      <x:c r="G188" s="297"/>
      <x:c r="H188" s="299"/>
      <x:c r="I188" s="299"/>
      <x:c r="J188" s="297"/>
      <x:c r="K188" s="300"/>
      <x:c r="L188" s="297"/>
      <x:c r="M188" s="301"/>
      <x:c r="N188" s="297"/>
      <x:c r="O188" s="301"/>
      <x:c r="P188" s="297"/>
      <x:c r="Q188" s="297"/>
      <x:c r="R188" s="301"/>
      <x:c r="S188" s="302"/>
      <x:c r="T188" s="302"/>
      <x:c r="U188" s="303" t="str">
        <x:f>IF(OR(S188="",T188=""),"",IF(T188&lt;=S188,"Yes","No"))</x:f>
      </x:c>
      <x:c r="V188" s="297"/>
      <x:c r="W188" s="297"/>
      <x:c r="X188" s="297"/>
      <x:c r="Y188" s="297"/>
      <x:c r="Z188" s="297"/>
    </x:row>
    <x:row r="189">
      <x:c r="A189" s="297"/>
      <x:c r="B189" s="298"/>
      <x:c r="C189" s="297"/>
      <x:c r="D189" s="297"/>
      <x:c r="E189" s="297"/>
      <x:c r="F189" s="297"/>
      <x:c r="G189" s="297"/>
      <x:c r="H189" s="299"/>
      <x:c r="I189" s="299"/>
      <x:c r="J189" s="297"/>
      <x:c r="K189" s="300"/>
      <x:c r="L189" s="297"/>
      <x:c r="M189" s="301"/>
      <x:c r="N189" s="297"/>
      <x:c r="O189" s="301"/>
      <x:c r="P189" s="297"/>
      <x:c r="Q189" s="297"/>
      <x:c r="R189" s="301"/>
      <x:c r="S189" s="302"/>
      <x:c r="T189" s="302"/>
      <x:c r="U189" s="303" t="str">
        <x:f>IF(OR(S189="",T189=""),"",IF(T189&lt;=S189,"Yes","No"))</x:f>
      </x:c>
      <x:c r="V189" s="297"/>
      <x:c r="W189" s="297"/>
      <x:c r="X189" s="297"/>
      <x:c r="Y189" s="297"/>
      <x:c r="Z189" s="297"/>
    </x:row>
    <x:row r="190">
      <x:c r="A190" s="297"/>
      <x:c r="B190" s="298"/>
      <x:c r="C190" s="297"/>
      <x:c r="D190" s="297"/>
      <x:c r="E190" s="297"/>
      <x:c r="F190" s="297"/>
      <x:c r="G190" s="297"/>
      <x:c r="H190" s="299"/>
      <x:c r="I190" s="299"/>
      <x:c r="J190" s="297"/>
      <x:c r="K190" s="300"/>
      <x:c r="L190" s="297"/>
      <x:c r="M190" s="301"/>
      <x:c r="N190" s="297"/>
      <x:c r="O190" s="301"/>
      <x:c r="P190" s="297"/>
      <x:c r="Q190" s="297"/>
      <x:c r="R190" s="301"/>
      <x:c r="S190" s="302"/>
      <x:c r="T190" s="302"/>
      <x:c r="U190" s="303" t="str">
        <x:f>IF(OR(S190="",T190=""),"",IF(T190&lt;=S190,"Yes","No"))</x:f>
      </x:c>
      <x:c r="V190" s="297"/>
      <x:c r="W190" s="297"/>
      <x:c r="X190" s="297"/>
      <x:c r="Y190" s="297"/>
      <x:c r="Z190" s="297"/>
    </x:row>
    <x:row r="191">
      <x:c r="A191" s="297"/>
      <x:c r="B191" s="298"/>
      <x:c r="C191" s="297"/>
      <x:c r="D191" s="297"/>
      <x:c r="E191" s="297"/>
      <x:c r="F191" s="297"/>
      <x:c r="G191" s="297"/>
      <x:c r="H191" s="299"/>
      <x:c r="I191" s="299"/>
      <x:c r="J191" s="297"/>
      <x:c r="K191" s="300"/>
      <x:c r="L191" s="297"/>
      <x:c r="M191" s="301"/>
      <x:c r="N191" s="297"/>
      <x:c r="O191" s="301"/>
      <x:c r="P191" s="297"/>
      <x:c r="Q191" s="297"/>
      <x:c r="R191" s="301"/>
      <x:c r="S191" s="302"/>
      <x:c r="T191" s="302"/>
      <x:c r="U191" s="303" t="str">
        <x:f>IF(OR(S191="",T191=""),"",IF(T191&lt;=S191,"Yes","No"))</x:f>
      </x:c>
      <x:c r="V191" s="297"/>
      <x:c r="W191" s="297"/>
      <x:c r="X191" s="297"/>
      <x:c r="Y191" s="297"/>
      <x:c r="Z191" s="297"/>
    </x:row>
    <x:row r="192">
      <x:c r="A192" s="297"/>
      <x:c r="B192" s="298"/>
      <x:c r="C192" s="297"/>
      <x:c r="D192" s="297"/>
      <x:c r="E192" s="297"/>
      <x:c r="F192" s="297"/>
      <x:c r="G192" s="297"/>
      <x:c r="H192" s="299"/>
      <x:c r="I192" s="299"/>
      <x:c r="J192" s="297"/>
      <x:c r="K192" s="300"/>
      <x:c r="L192" s="297"/>
      <x:c r="M192" s="301"/>
      <x:c r="N192" s="297"/>
      <x:c r="O192" s="301"/>
      <x:c r="P192" s="297"/>
      <x:c r="Q192" s="297"/>
      <x:c r="R192" s="301"/>
      <x:c r="S192" s="302"/>
      <x:c r="T192" s="302"/>
      <x:c r="U192" s="303" t="str">
        <x:f>IF(OR(S192="",T192=""),"",IF(T192&lt;=S192,"Yes","No"))</x:f>
      </x:c>
      <x:c r="V192" s="297"/>
      <x:c r="W192" s="297"/>
      <x:c r="X192" s="297"/>
      <x:c r="Y192" s="297"/>
      <x:c r="Z192" s="297"/>
    </x:row>
    <x:row r="193">
      <x:c r="A193" s="297"/>
      <x:c r="B193" s="298"/>
      <x:c r="C193" s="297"/>
      <x:c r="D193" s="297"/>
      <x:c r="E193" s="297"/>
      <x:c r="F193" s="297"/>
      <x:c r="G193" s="297"/>
      <x:c r="H193" s="299"/>
      <x:c r="I193" s="299"/>
      <x:c r="J193" s="297"/>
      <x:c r="K193" s="300"/>
      <x:c r="L193" s="297"/>
      <x:c r="M193" s="301"/>
      <x:c r="N193" s="297"/>
      <x:c r="O193" s="301"/>
      <x:c r="P193" s="297"/>
      <x:c r="Q193" s="297"/>
      <x:c r="R193" s="301"/>
      <x:c r="S193" s="302"/>
      <x:c r="T193" s="302"/>
      <x:c r="U193" s="303" t="str">
        <x:f>IF(OR(S193="",T193=""),"",IF(T193&lt;=S193,"Yes","No"))</x:f>
      </x:c>
      <x:c r="V193" s="297"/>
      <x:c r="W193" s="297"/>
      <x:c r="X193" s="297"/>
      <x:c r="Y193" s="297"/>
      <x:c r="Z193" s="297"/>
    </x:row>
    <x:row r="194">
      <x:c r="A194" s="297"/>
      <x:c r="B194" s="298"/>
      <x:c r="C194" s="297"/>
      <x:c r="D194" s="297"/>
      <x:c r="E194" s="297"/>
      <x:c r="F194" s="297"/>
      <x:c r="G194" s="297"/>
      <x:c r="H194" s="299"/>
      <x:c r="I194" s="299"/>
      <x:c r="J194" s="297"/>
      <x:c r="K194" s="300"/>
      <x:c r="L194" s="297"/>
      <x:c r="M194" s="301"/>
      <x:c r="N194" s="297"/>
      <x:c r="O194" s="301"/>
      <x:c r="P194" s="297"/>
      <x:c r="Q194" s="297"/>
      <x:c r="R194" s="301"/>
      <x:c r="S194" s="302"/>
      <x:c r="T194" s="302"/>
      <x:c r="U194" s="303" t="str">
        <x:f>IF(OR(S194="",T194=""),"",IF(T194&lt;=S194,"Yes","No"))</x:f>
      </x:c>
      <x:c r="V194" s="297"/>
      <x:c r="W194" s="297"/>
      <x:c r="X194" s="297"/>
      <x:c r="Y194" s="297"/>
      <x:c r="Z194" s="297"/>
    </x:row>
    <x:row r="195">
      <x:c r="A195" s="297"/>
      <x:c r="B195" s="298"/>
      <x:c r="C195" s="297"/>
      <x:c r="D195" s="297"/>
      <x:c r="E195" s="297"/>
      <x:c r="F195" s="297"/>
      <x:c r="G195" s="297"/>
      <x:c r="H195" s="299"/>
      <x:c r="I195" s="299"/>
      <x:c r="J195" s="297"/>
      <x:c r="K195" s="300"/>
      <x:c r="L195" s="297"/>
      <x:c r="M195" s="301"/>
      <x:c r="N195" s="297"/>
      <x:c r="O195" s="301"/>
      <x:c r="P195" s="297"/>
      <x:c r="Q195" s="297"/>
      <x:c r="R195" s="301"/>
      <x:c r="S195" s="302"/>
      <x:c r="T195" s="302"/>
      <x:c r="U195" s="303" t="str">
        <x:f>IF(OR(S195="",T195=""),"",IF(T195&lt;=S195,"Yes","No"))</x:f>
      </x:c>
      <x:c r="V195" s="297"/>
      <x:c r="W195" s="297"/>
      <x:c r="X195" s="297"/>
      <x:c r="Y195" s="297"/>
      <x:c r="Z195" s="297"/>
    </x:row>
    <x:row r="196">
      <x:c r="A196" s="297"/>
      <x:c r="B196" s="298"/>
      <x:c r="C196" s="297"/>
      <x:c r="D196" s="297"/>
      <x:c r="E196" s="297"/>
      <x:c r="F196" s="297"/>
      <x:c r="G196" s="297"/>
      <x:c r="H196" s="299"/>
      <x:c r="I196" s="299"/>
      <x:c r="J196" s="297"/>
      <x:c r="K196" s="300"/>
      <x:c r="L196" s="297"/>
      <x:c r="M196" s="301"/>
      <x:c r="N196" s="297"/>
      <x:c r="O196" s="301"/>
      <x:c r="P196" s="297"/>
      <x:c r="Q196" s="297"/>
      <x:c r="R196" s="301"/>
      <x:c r="S196" s="302"/>
      <x:c r="T196" s="302"/>
      <x:c r="U196" s="303" t="str">
        <x:f>IF(OR(S196="",T196=""),"",IF(T196&lt;=S196,"Yes","No"))</x:f>
      </x:c>
      <x:c r="V196" s="297"/>
      <x:c r="W196" s="297"/>
      <x:c r="X196" s="297"/>
      <x:c r="Y196" s="297"/>
      <x:c r="Z196" s="297"/>
    </x:row>
    <x:row r="197">
      <x:c r="A197" s="297"/>
      <x:c r="B197" s="298"/>
      <x:c r="C197" s="297"/>
      <x:c r="D197" s="297"/>
      <x:c r="E197" s="297"/>
      <x:c r="F197" s="297"/>
      <x:c r="G197" s="297"/>
      <x:c r="H197" s="299"/>
      <x:c r="I197" s="299"/>
      <x:c r="J197" s="297"/>
      <x:c r="K197" s="300"/>
      <x:c r="L197" s="297"/>
      <x:c r="M197" s="301"/>
      <x:c r="N197" s="297"/>
      <x:c r="O197" s="301"/>
      <x:c r="P197" s="297"/>
      <x:c r="Q197" s="297"/>
      <x:c r="R197" s="301"/>
      <x:c r="S197" s="302"/>
      <x:c r="T197" s="302"/>
      <x:c r="U197" s="303" t="str">
        <x:f>IF(OR(S197="",T197=""),"",IF(T197&lt;=S197,"Yes","No"))</x:f>
      </x:c>
      <x:c r="V197" s="297"/>
      <x:c r="W197" s="297"/>
      <x:c r="X197" s="297"/>
      <x:c r="Y197" s="297"/>
      <x:c r="Z197" s="297"/>
    </x:row>
    <x:row r="198">
      <x:c r="A198" s="297"/>
      <x:c r="B198" s="298"/>
      <x:c r="C198" s="297"/>
      <x:c r="D198" s="297"/>
      <x:c r="E198" s="297"/>
      <x:c r="F198" s="297"/>
      <x:c r="G198" s="297"/>
      <x:c r="H198" s="299"/>
      <x:c r="I198" s="299"/>
      <x:c r="J198" s="297"/>
      <x:c r="K198" s="300"/>
      <x:c r="L198" s="297"/>
      <x:c r="M198" s="301"/>
      <x:c r="N198" s="297"/>
      <x:c r="O198" s="301"/>
      <x:c r="P198" s="297"/>
      <x:c r="Q198" s="297"/>
      <x:c r="R198" s="301"/>
      <x:c r="S198" s="302"/>
      <x:c r="T198" s="302"/>
      <x:c r="U198" s="303" t="str">
        <x:f>IF(OR(S198="",T198=""),"",IF(T198&lt;=S198,"Yes","No"))</x:f>
      </x:c>
      <x:c r="V198" s="297"/>
      <x:c r="W198" s="297"/>
      <x:c r="X198" s="297"/>
      <x:c r="Y198" s="297"/>
      <x:c r="Z198" s="297"/>
    </x:row>
    <x:row r="199">
      <x:c r="A199" s="297"/>
      <x:c r="B199" s="298"/>
      <x:c r="C199" s="297"/>
      <x:c r="D199" s="297"/>
      <x:c r="E199" s="297"/>
      <x:c r="F199" s="297"/>
      <x:c r="G199" s="297"/>
      <x:c r="H199" s="299"/>
      <x:c r="I199" s="299"/>
      <x:c r="J199" s="297"/>
      <x:c r="K199" s="300"/>
      <x:c r="L199" s="297"/>
      <x:c r="M199" s="301"/>
      <x:c r="N199" s="297"/>
      <x:c r="O199" s="301"/>
      <x:c r="P199" s="297"/>
      <x:c r="Q199" s="297"/>
      <x:c r="R199" s="301"/>
      <x:c r="S199" s="302"/>
      <x:c r="T199" s="302"/>
      <x:c r="U199" s="303" t="str">
        <x:f>IF(OR(S199="",T199=""),"",IF(T199&lt;=S199,"Yes","No"))</x:f>
      </x:c>
      <x:c r="V199" s="297"/>
      <x:c r="W199" s="297"/>
      <x:c r="X199" s="297"/>
      <x:c r="Y199" s="297"/>
      <x:c r="Z199" s="297"/>
    </x:row>
    <x:row r="200">
      <x:c r="A200" s="297"/>
      <x:c r="B200" s="298"/>
      <x:c r="C200" s="297"/>
      <x:c r="D200" s="297"/>
      <x:c r="E200" s="297"/>
      <x:c r="F200" s="297"/>
      <x:c r="G200" s="297"/>
      <x:c r="H200" s="299"/>
      <x:c r="I200" s="299"/>
      <x:c r="J200" s="297"/>
      <x:c r="K200" s="300"/>
      <x:c r="L200" s="297"/>
      <x:c r="M200" s="301"/>
      <x:c r="N200" s="297"/>
      <x:c r="O200" s="301"/>
      <x:c r="P200" s="297"/>
      <x:c r="Q200" s="297"/>
      <x:c r="R200" s="301"/>
      <x:c r="S200" s="302"/>
      <x:c r="T200" s="302"/>
      <x:c r="U200" s="303" t="str">
        <x:f>IF(OR(S200="",T200=""),"",IF(T200&lt;=S200,"Yes","No"))</x:f>
      </x:c>
      <x:c r="V200" s="297"/>
      <x:c r="W200" s="297"/>
      <x:c r="X200" s="297"/>
      <x:c r="Y200" s="297"/>
      <x:c r="Z200" s="297"/>
    </x:row>
    <x:row r="201">
      <x:c r="A201" s="297"/>
      <x:c r="B201" s="298"/>
      <x:c r="C201" s="297"/>
      <x:c r="D201" s="297"/>
      <x:c r="E201" s="297"/>
      <x:c r="F201" s="297"/>
      <x:c r="G201" s="297"/>
      <x:c r="H201" s="299"/>
      <x:c r="I201" s="299"/>
      <x:c r="J201" s="297"/>
      <x:c r="K201" s="300"/>
      <x:c r="L201" s="297"/>
      <x:c r="M201" s="301"/>
      <x:c r="N201" s="297"/>
      <x:c r="O201" s="301"/>
      <x:c r="P201" s="297"/>
      <x:c r="Q201" s="297"/>
      <x:c r="R201" s="301"/>
      <x:c r="S201" s="302"/>
      <x:c r="T201" s="302"/>
      <x:c r="U201" s="303" t="str">
        <x:f>IF(OR(S201="",T201=""),"",IF(T201&lt;=S201,"Yes","No"))</x:f>
      </x:c>
      <x:c r="V201" s="297"/>
      <x:c r="W201" s="297"/>
      <x:c r="X201" s="297"/>
      <x:c r="Y201" s="297"/>
      <x:c r="Z201" s="297"/>
    </x:row>
    <x:row r="202">
      <x:c r="A202" s="297"/>
      <x:c r="B202" s="298"/>
      <x:c r="C202" s="297"/>
      <x:c r="D202" s="297"/>
      <x:c r="E202" s="297"/>
      <x:c r="F202" s="297"/>
      <x:c r="G202" s="297"/>
      <x:c r="H202" s="299"/>
      <x:c r="I202" s="299"/>
      <x:c r="J202" s="297"/>
      <x:c r="K202" s="300"/>
      <x:c r="L202" s="297"/>
      <x:c r="M202" s="301"/>
      <x:c r="N202" s="297"/>
      <x:c r="O202" s="301"/>
      <x:c r="P202" s="297"/>
      <x:c r="Q202" s="297"/>
      <x:c r="R202" s="301"/>
      <x:c r="S202" s="302"/>
      <x:c r="T202" s="302"/>
      <x:c r="U202" s="303" t="str">
        <x:f>IF(OR(S202="",T202=""),"",IF(T202&lt;=S202,"Yes","No"))</x:f>
      </x:c>
      <x:c r="V202" s="297"/>
      <x:c r="W202" s="297"/>
      <x:c r="X202" s="297"/>
      <x:c r="Y202" s="297"/>
      <x:c r="Z202" s="297"/>
    </x:row>
    <x:row r="203">
      <x:c r="A203" s="297"/>
      <x:c r="B203" s="298"/>
      <x:c r="C203" s="297"/>
      <x:c r="D203" s="297"/>
      <x:c r="E203" s="297"/>
      <x:c r="F203" s="297"/>
      <x:c r="G203" s="297"/>
      <x:c r="H203" s="299"/>
      <x:c r="I203" s="299"/>
      <x:c r="J203" s="297"/>
      <x:c r="K203" s="300"/>
      <x:c r="L203" s="297"/>
      <x:c r="M203" s="301"/>
      <x:c r="N203" s="297"/>
      <x:c r="O203" s="301"/>
      <x:c r="P203" s="297"/>
      <x:c r="Q203" s="297"/>
      <x:c r="R203" s="301"/>
      <x:c r="S203" s="302"/>
      <x:c r="T203" s="302"/>
      <x:c r="U203" s="303" t="str">
        <x:f>IF(OR(S203="",T203=""),"",IF(T203&lt;=S203,"Yes","No"))</x:f>
      </x:c>
      <x:c r="V203" s="297"/>
      <x:c r="W203" s="297"/>
      <x:c r="X203" s="297"/>
      <x:c r="Y203" s="297"/>
      <x:c r="Z203" s="297"/>
    </x:row>
    <x:row r="204">
      <x:c r="A204" s="304"/>
      <x:c r="B204" s="305"/>
      <x:c r="C204" s="304"/>
      <x:c r="D204" s="304"/>
      <x:c r="E204" s="304"/>
      <x:c r="F204" s="304"/>
      <x:c r="G204" s="304"/>
      <x:c r="H204" s="306"/>
      <x:c r="I204" s="306"/>
      <x:c r="J204" s="304"/>
      <x:c r="K204" s="307"/>
      <x:c r="L204" s="304"/>
      <x:c r="M204" s="308"/>
      <x:c r="N204" s="304"/>
      <x:c r="O204" s="308"/>
      <x:c r="P204" s="304"/>
      <x:c r="Q204" s="304"/>
      <x:c r="R204" s="308"/>
      <x:c r="S204" s="309"/>
      <x:c r="T204" s="309"/>
      <x:c r="U204" s="310" t="str">
        <x:f>IF(OR(S204="",T204=""),"",IF(T204&lt;=S204,"Yes","No"))</x:f>
      </x:c>
      <x:c r="V204" s="304"/>
      <x:c r="W204" s="304"/>
      <x:c r="X204" s="304"/>
      <x:c r="Y204" s="304"/>
      <x:c r="Z204" s="304"/>
    </x:row>
  </x:sheetData>
  <x:mergeCells>
    <x:mergeCell ref="A1:Z1"/>
    <x:mergeCell ref="A2:Z2"/>
  </x:mergeCells>
  <x:dataValidations count="13">
    <x:dataValidation type="list" sqref="C5:C204">
      <x:formula1>"Web,WhatsApp,Staff-assisted,Storefront,App"</x:formula1>
    </x:dataValidation>
    <x:dataValidation type="list" sqref="D5:D204">
      <x:formula1>"Hospital,Clinic,Doctor,Diagnostic centre,Pharmacy QR,Website/social,Repeat customer,Other"</x:formula1>
    </x:dataValidation>
    <x:dataValidation type="list" sqref="F5:F204">
      <x:formula1>"Yes,No"</x:formula1>
    </x:dataValidation>
    <x:dataValidation type="list" sqref="G5:G204">
      <x:formula1>"Yes,No"</x:formula1>
    </x:dataValidation>
    <x:dataValidation type="list" sqref="J5:J204">
      <x:formula1>"Yes,No"</x:formula1>
    </x:dataValidation>
    <x:dataValidation type="list" sqref="N5:N204">
      <x:formula1>"Yes,No"</x:formula1>
    </x:dataValidation>
    <x:dataValidation type="list" sqref="V5:V204">
      <x:formula1>"Yes,No"</x:formula1>
    </x:dataValidation>
    <x:dataValidation type="list" sqref="W5:W204">
      <x:formula1>"Yes,No"</x:formula1>
    </x:dataValidation>
    <x:dataValidation type="list" sqref="X5:X204">
      <x:formula1>"Yes,No"</x:formula1>
    </x:dataValidation>
    <x:dataValidation type="list" sqref="Y5:Y204">
      <x:formula1>"Yes,No"</x:formula1>
    </x:dataValidation>
    <x:dataValidation type="list" sqref="L5:L204">
      <x:formula1>"Full,Partial,Unavailable,Clarification required,Declined"</x:formula1>
    </x:dataValidation>
    <x:dataValidation type="list" sqref="P5:P204">
      <x:formula1>"Pickup,Delivery"</x:formula1>
    </x:dataValidation>
    <x:dataValidation type="list" sqref="Q5:Q204">
      <x:formula1>"Not applicable,Hospital/campus fixed zone,Nearby zone,Citywide zone,Approved long-distance lane,Manual quote"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78865d91f4b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6" hidden="0" customWidth="1"/>
    <x:col min="4" max="4" width="15" hidden="0" customWidth="1"/>
    <x:col min="5" max="5" width="15" hidden="0" customWidth="1"/>
    <x:col min="6" max="6" width="42" hidden="0" customWidth="1"/>
    <x:col min="7" max="7" width="48" hidden="0" customWidth="1"/>
  </x:cols>
  <x:sheetData>
    <x:row r="1" ht="34" customHeight="1">
      <x:c r="A1" s="167" t="str">
        <x:v>Pilot KPI Scorecard</x:v>
      </x:c>
      <x:c r="B1" s="167"/>
      <x:c r="C1" s="167"/>
      <x:c r="D1" s="167"/>
      <x:c r="E1" s="167"/>
      <x:c r="F1" s="167"/>
      <x:c r="G1" s="167"/>
    </x:row>
    <x:row r="2" ht="30" customHeight="1">
      <x:c r="A2" s="168" t="str">
        <x:v>Targets are provisional decision gates. Metrics calculate from the Pilot Data sheet and stay blank until data is entered.</x:v>
      </x:c>
      <x:c r="B2" s="168"/>
      <x:c r="C2" s="168"/>
      <x:c r="D2" s="168"/>
      <x:c r="E2" s="168"/>
      <x:c r="F2" s="168"/>
      <x:c r="G2" s="168"/>
    </x:row>
    <x:row r="3">
      <x:c r="A3" s="200"/>
      <x:c r="B3" s="200"/>
      <x:c r="C3" s="200"/>
      <x:c r="D3" s="200"/>
      <x:c r="E3" s="200"/>
      <x:c r="F3" s="200"/>
      <x:c r="G3" s="200"/>
    </x:row>
    <x:row r="4">
      <x:c r="A4" s="186" t="str">
        <x:v>Type</x:v>
      </x:c>
      <x:c r="B4" s="187" t="str">
        <x:v>Metric</x:v>
      </x:c>
      <x:c r="C4" s="187" t="str">
        <x:v>Actual</x:v>
      </x:c>
      <x:c r="D4" s="187" t="str">
        <x:v>Target</x:v>
      </x:c>
      <x:c r="E4" s="187" t="str">
        <x:v>Status</x:v>
      </x:c>
      <x:c r="F4" s="187" t="str">
        <x:v>Calculation</x:v>
      </x:c>
      <x:c r="G4" s="188" t="str">
        <x:v>Decision use</x:v>
      </x:c>
    </x:row>
    <x:row r="5">
      <x:c r="A5" s="229" t="str">
        <x:v>Primary</x:v>
      </x:c>
      <x:c r="B5" s="229" t="str">
        <x:v>Quote-to-paid conversion</x:v>
      </x:c>
      <x:c r="C5" s="318" t="str">
        <x:f>IF(COUNTIF('Pilot Data'!$J$5:$J$204,"Yes")=0,"",COUNTIF('Pilot Data'!$N$5:$N$204,"Yes")/COUNTIF('Pilot Data'!$J$5:$J$204,"Yes"))</x:f>
      </x:c>
      <x:c r="D5" s="319" t="n">
        <x:v>0.5</x:v>
      </x:c>
      <x:c r="E5" s="229" t="str">
        <x:f>IF(C5="","NO DATA",IF(C5&gt;=D5,"PASS","ATTENTION"))</x:f>
        <x:v>NO DATA</x:v>
      </x:c>
      <x:c r="F5" s="229" t="str">
        <x:v>Paid orders / quotes issued</x:v>
      </x:c>
      <x:c r="G5" s="229" t="str">
        <x:v>Tests whether the workflow creates commercial value</x:v>
      </x:c>
    </x:row>
    <x:row r="6">
      <x:c r="A6" s="232" t="str">
        <x:v>Primary</x:v>
      </x:c>
      <x:c r="B6" s="232" t="str">
        <x:v>Median quotation turnaround</x:v>
      </x:c>
      <x:c r="C6" s="320" t="str">
        <x:f>IF(COUNT('Pilot Data'!$K$5:$K$204)=0,"",MEDIAN('Pilot Data'!$K$5:$K$204))</x:f>
      </x:c>
      <x:c r="D6" s="321" t="n">
        <x:v>10</x:v>
      </x:c>
      <x:c r="E6" s="232" t="str">
        <x:f>IF(C6="","NO DATA",IF(C6&lt;=D6,"PASS","ATTENTION"))</x:f>
        <x:v>NO DATA</x:v>
      </x:c>
      <x:c r="F6" s="232" t="str">
        <x:v>Median minutes from valid request to quote</x:v>
      </x:c>
      <x:c r="G6" s="232" t="str">
        <x:v>Tests whether digital intake is meaningfully faster</x:v>
      </x:c>
    </x:row>
    <x:row r="7">
      <x:c r="A7" s="232" t="str">
        <x:v>Primary</x:v>
      </x:c>
      <x:c r="B7" s="232" t="str">
        <x:v>Ready-on-promise rate</x:v>
      </x:c>
      <x:c r="C7" s="322" t="str">
        <x:f>IF(COUNTIF('Pilot Data'!$U$5:$U$204,"Yes")+COUNTIF('Pilot Data'!$U$5:$U$204,"No")=0,"",COUNTIF('Pilot Data'!$U$5:$U$204,"Yes")/(COUNTIF('Pilot Data'!$U$5:$U$204,"Yes")+COUNTIF('Pilot Data'!$U$5:$U$204,"No")))</x:f>
      </x:c>
      <x:c r="D7" s="323" t="n">
        <x:v>0.95</x:v>
      </x:c>
      <x:c r="E7" s="232" t="str">
        <x:f>IF(C7="","NO DATA",IF(C7&gt;=D7,"PASS","ATTENTION"))</x:f>
        <x:v>NO DATA</x:v>
      </x:c>
      <x:c r="F7" s="232" t="str">
        <x:v>Orders ready by promised handoff / due orders</x:v>
      </x:c>
      <x:c r="G7" s="232" t="str">
        <x:v>Tests fulfilment reliability</x:v>
      </x:c>
    </x:row>
    <x:row r="8">
      <x:c r="A8" s="232" t="str">
        <x:v>Driver</x:v>
      </x:c>
      <x:c r="B8" s="232" t="str">
        <x:v>Image-clarification rate</x:v>
      </x:c>
      <x:c r="C8" s="322" t="str">
        <x:f>IF(COUNTIF('Pilot Data'!$F$5:$F$204,"Yes")=0,"",COUNTIF('Pilot Data'!$G$5:$G$204,"Yes")/COUNTIF('Pilot Data'!$F$5:$F$204,"Yes"))</x:f>
      </x:c>
      <x:c r="D8" s="323" t="n">
        <x:v>0.15</x:v>
      </x:c>
      <x:c r="E8" s="232" t="str">
        <x:f>IF(C8="","NO DATA",IF(C8&lt;=D8,"PASS","ATTENTION"))</x:f>
        <x:v>NO DATA</x:v>
      </x:c>
      <x:c r="F8" s="232" t="str">
        <x:v>Requests requiring clearer image / valid requests</x:v>
      </x:c>
      <x:c r="G8" s="232" t="str">
        <x:v>Shows customer capture friction</x:v>
      </x:c>
    </x:row>
    <x:row r="9">
      <x:c r="A9" s="232" t="str">
        <x:v>Driver</x:v>
      </x:c>
      <x:c r="B9" s="232" t="str">
        <x:v>OCR line-correction rate</x:v>
      </x:c>
      <x:c r="C9" s="322" t="str">
        <x:f>IF(SUM('Pilot Data'!$H$5:$H$204)=0,"",SUM('Pilot Data'!$I$5:$I$204)/SUM('Pilot Data'!$H$5:$H$204))</x:f>
      </x:c>
      <x:c r="D9" s="323" t="n">
        <x:v>0.2</x:v>
      </x:c>
      <x:c r="E9" s="232" t="str">
        <x:f>IF(C9="","NO DATA",IF(C9&lt;=D9,"PASS","ATTENTION"))</x:f>
        <x:v>NO DATA</x:v>
      </x:c>
      <x:c r="F9" s="232" t="str">
        <x:v>Corrected lines / submitted lines</x:v>
      </x:c>
      <x:c r="G9" s="232" t="str">
        <x:v>Sizes transcription quality and staff workload</x:v>
      </x:c>
    </x:row>
    <x:row r="10">
      <x:c r="A10" s="232" t="str">
        <x:v>Driver</x:v>
      </x:c>
      <x:c r="B10" s="232" t="str">
        <x:v>Full-availability rate</x:v>
      </x:c>
      <x:c r="C10" s="322" t="str">
        <x:f>IF(COUNTIF('Pilot Data'!$J$5:$J$204,"Yes")=0,"",COUNTIF('Pilot Data'!$L$5:$L$204,"Full")/COUNTIF('Pilot Data'!$J$5:$J$204,"Yes"))</x:f>
      </x:c>
      <x:c r="D10" s="323" t="n">
        <x:v>0.6</x:v>
      </x:c>
      <x:c r="E10" s="232" t="str">
        <x:f>IF(C10="","NO DATA",IF(C10&gt;=D10,"PASS","ATTENTION"))</x:f>
        <x:v>NO DATA</x:v>
      </x:c>
      <x:c r="F10" s="232" t="str">
        <x:v>Full quotes / quotes issued</x:v>
      </x:c>
      <x:c r="G10" s="232" t="str">
        <x:v>Shows stock coverage</x:v>
      </x:c>
    </x:row>
    <x:row r="11">
      <x:c r="A11" s="232" t="str">
        <x:v>Driver</x:v>
      </x:c>
      <x:c r="B11" s="232" t="str">
        <x:v>Delivery selection rate</x:v>
      </x:c>
      <x:c r="C11" s="322" t="str">
        <x:f>IF(COUNTIF('Pilot Data'!$N$5:$N$204,"Yes")=0,"",COUNTIF('Pilot Data'!$P$5:$P$204,"Delivery")/COUNTIF('Pilot Data'!$N$5:$N$204,"Yes"))</x:f>
      </x:c>
      <x:c r="D11" s="323" t="n">
        <x:v>0.3</x:v>
      </x:c>
      <x:c r="E11" s="232" t="str">
        <x:f>IF(C11="","NO DATA",IF(C11&gt;=D11,"PASS","ATTENTION"))</x:f>
        <x:v>NO DATA</x:v>
      </x:c>
      <x:c r="F11" s="232" t="str">
        <x:v>Delivery orders / paid orders</x:v>
      </x:c>
      <x:c r="G11" s="232" t="str">
        <x:v>Sizes dispatch demand</x:v>
      </x:c>
    </x:row>
    <x:row r="12">
      <x:c r="A12" s="232" t="str">
        <x:v>Guardrail</x:v>
      </x:c>
      <x:c r="B12" s="232" t="str">
        <x:v>Safety incidents</x:v>
      </x:c>
      <x:c r="C12" s="252" t="str">
        <x:f>IF(COUNTA('Pilot Data'!$A$5:$A$204)=0,"",COUNTIF('Pilot Data'!$X$5:$X$204,"Yes"))</x:f>
      </x:c>
      <x:c r="D12" s="324" t="n">
        <x:v>0</x:v>
      </x:c>
      <x:c r="E12" s="232" t="str">
        <x:f>IF(C12="","NO DATA",IF(C12=D12,"PASS","FAIL"))</x:f>
        <x:v>NO DATA</x:v>
      </x:c>
      <x:c r="F12" s="232" t="str">
        <x:v>Count of requests with a safety incident</x:v>
      </x:c>
      <x:c r="G12" s="232" t="str">
        <x:v>Must remain zero</x:v>
      </x:c>
    </x:row>
    <x:row r="13">
      <x:c r="A13" s="232" t="str">
        <x:v>Guardrail</x:v>
      </x:c>
      <x:c r="B13" s="232" t="str">
        <x:v>Privacy incidents</x:v>
      </x:c>
      <x:c r="C13" s="252" t="str">
        <x:f>IF(COUNTA('Pilot Data'!$A$5:$A$204)=0,"",COUNTIF('Pilot Data'!$Y$5:$Y$204,"Yes"))</x:f>
      </x:c>
      <x:c r="D13" s="324" t="n">
        <x:v>0</x:v>
      </x:c>
      <x:c r="E13" s="232" t="str">
        <x:f>IF(C13="","NO DATA",IF(C13=D13,"PASS","FAIL"))</x:f>
        <x:v>NO DATA</x:v>
      </x:c>
      <x:c r="F13" s="232" t="str">
        <x:v>Count of requests with a privacy incident</x:v>
      </x:c>
      <x:c r="G13" s="232" t="str">
        <x:v>Must remain zero</x:v>
      </x:c>
    </x:row>
    <x:row r="14">
      <x:c r="A14" s="232" t="str">
        <x:v>Guardrail</x:v>
      </x:c>
      <x:c r="B14" s="232" t="str">
        <x:v>Pharmacy-error rate</x:v>
      </x:c>
      <x:c r="C14" s="322" t="str">
        <x:f>IF(COUNTIF('Pilot Data'!$N$5:$N$204,"Yes")=0,"",COUNTIF('Pilot Data'!$W$5:$W$204,"Yes")/COUNTIF('Pilot Data'!$N$5:$N$204,"Yes"))</x:f>
      </x:c>
      <x:c r="D14" s="323" t="n">
        <x:v>0</x:v>
      </x:c>
      <x:c r="E14" s="232" t="str">
        <x:f>IF(C14="","NO DATA",IF(C14=D14,"PASS","FAIL"))</x:f>
        <x:v>NO DATA</x:v>
      </x:c>
      <x:c r="F14" s="232" t="str">
        <x:v>Requests with pharmacy error / paid orders</x:v>
      </x:c>
      <x:c r="G14" s="232" t="str">
        <x:v>Protects dispensing and packing quality</x:v>
      </x:c>
    </x:row>
  </x:sheetData>
  <x:mergeCells>
    <x:mergeCell ref="A1:G1"/>
    <x:mergeCell ref="A2:G2"/>
  </x:mergeCells>
  <x:conditionalFormatting sqref="E5:E14">
    <x:cfRule type="containsText" dxfId="0" priority="1" operator="containsText" text="OK"/>
    <x:cfRule type="containsText" dxfId="1" priority="2" operator="containsText" text="PASS"/>
    <x:cfRule type="containsText" dxfId="2" priority="3" operator="containsText" text="FAIL"/>
    <x:cfRule type="containsText" dxfId="3" priority="4" operator="containsText" text="ATTENTIO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28" hidden="0" customWidth="1"/>
    <x:col min="5" max="5" width="14" hidden="0" customWidth="1"/>
    <x:col min="6" max="6" width="20" hidden="0" customWidth="1"/>
    <x:col min="7" max="7" width="24" hidden="0" customWidth="1"/>
    <x:col min="8" max="8" width="42" hidden="0" customWidth="1"/>
  </x:cols>
  <x:sheetData>
    <x:row r="1" ht="34" customHeight="1">
      <x:c r="A1" s="167" t="str">
        <x:v>Commercialization Research Inputs</x:v>
      </x:c>
      <x:c r="B1" s="167"/>
      <x:c r="C1" s="167"/>
      <x:c r="D1" s="167"/>
      <x:c r="E1" s="167"/>
      <x:c r="F1" s="167"/>
      <x:c r="G1" s="167"/>
      <x:c r="H1" s="167"/>
    </x:row>
    <x:row r="2" ht="30" customHeight="1">
      <x:c r="A2" s="168" t="str">
        <x:v>Track the evidence needed to replace hypotheses with pharmacy, customer, operational, technical, and compliance facts.</x:v>
      </x:c>
      <x:c r="B2" s="168"/>
      <x:c r="C2" s="168"/>
      <x:c r="D2" s="168"/>
      <x:c r="E2" s="168"/>
      <x:c r="F2" s="168"/>
      <x:c r="G2" s="168"/>
      <x:c r="H2" s="168"/>
    </x:row>
    <x:row r="3">
      <x:c r="A3" s="200"/>
      <x:c r="B3" s="200"/>
      <x:c r="C3" s="200"/>
      <x:c r="D3" s="200"/>
      <x:c r="E3" s="200"/>
      <x:c r="F3" s="200"/>
      <x:c r="G3" s="200"/>
      <x:c r="H3" s="200"/>
    </x:row>
    <x:row r="4">
      <x:c r="A4" s="186" t="str">
        <x:v>Category</x:v>
      </x:c>
      <x:c r="B4" s="187" t="str">
        <x:v>Data item</x:v>
      </x:c>
      <x:c r="C4" s="187" t="str">
        <x:v>Decision supported</x:v>
      </x:c>
      <x:c r="D4" s="187" t="str">
        <x:v>Owner/source</x:v>
      </x:c>
      <x:c r="E4" s="187" t="str">
        <x:v>Status</x:v>
      </x:c>
      <x:c r="F4" s="187" t="str">
        <x:v>Required before</x:v>
      </x:c>
      <x:c r="G4" s="187" t="str">
        <x:v>Current value</x:v>
      </x:c>
      <x:c r="H4" s="188" t="str">
        <x:v>Notes</x:v>
      </x:c>
    </x:row>
    <x:row r="5">
      <x:c r="A5" s="327" t="str">
        <x:v>Demand</x:v>
      </x:c>
      <x:c r="B5" s="327" t="str">
        <x:v>Prescription requests by day and hour</x:v>
      </x:c>
      <x:c r="C5" s="327" t="str">
        <x:v>Staffing, capacity, and pricing</x:v>
      </x:c>
      <x:c r="D5" s="328" t="str">
        <x:v>Pharmacy operations</x:v>
      </x:c>
      <x:c r="E5" s="328" t="str">
        <x:v>Missing</x:v>
      </x:c>
      <x:c r="F5" s="328" t="str">
        <x:v>Pilot launch</x:v>
      </x:c>
      <x:c r="G5" s="328"/>
      <x:c r="H5" s="328"/>
    </x:row>
    <x:row r="6">
      <x:c r="A6" s="327" t="str">
        <x:v>Demand</x:v>
      </x:c>
      <x:c r="B6" s="327" t="str">
        <x:v>Requests by web, WhatsApp, walk-in, and phone</x:v>
      </x:c>
      <x:c r="C6" s="327" t="str">
        <x:v>Channel design and attribution</x:v>
      </x:c>
      <x:c r="D6" s="328" t="str">
        <x:v>Customer service lead</x:v>
      </x:c>
      <x:c r="E6" s="328" t="str">
        <x:v>Missing</x:v>
      </x:c>
      <x:c r="F6" s="328" t="str">
        <x:v>Pilot launch</x:v>
      </x:c>
      <x:c r="G6" s="328"/>
      <x:c r="H6" s="328"/>
    </x:row>
    <x:row r="7">
      <x:c r="A7" s="327" t="str">
        <x:v>Demand</x:v>
      </x:c>
      <x:c r="B7" s="327" t="str">
        <x:v>Average prescription lines per request</x:v>
      </x:c>
      <x:c r="C7" s="327" t="str">
        <x:v>OCR cost and staff workload</x:v>
      </x:c>
      <x:c r="D7" s="328" t="str">
        <x:v>Pharmacist lead</x:v>
      </x:c>
      <x:c r="E7" s="328" t="str">
        <x:v>Missing</x:v>
      </x:c>
      <x:c r="F7" s="328" t="str">
        <x:v>Pilot launch</x:v>
      </x:c>
      <x:c r="G7" s="328"/>
      <x:c r="H7" s="328"/>
    </x:row>
    <x:row r="8">
      <x:c r="A8" s="327" t="str">
        <x:v>Commercial</x:v>
      </x:c>
      <x:c r="B8" s="327" t="str">
        <x:v>Average medicine basket</x:v>
      </x:c>
      <x:c r="C8" s="327" t="str">
        <x:v>Order fee and pharmacy ROI</x:v>
      </x:c>
      <x:c r="D8" s="328" t="str">
        <x:v>Finance/POS</x:v>
      </x:c>
      <x:c r="E8" s="328" t="str">
        <x:v>Missing</x:v>
      </x:c>
      <x:c r="F8" s="328" t="str">
        <x:v>Pricing approval</x:v>
      </x:c>
      <x:c r="G8" s="328"/>
      <x:c r="H8" s="328"/>
    </x:row>
    <x:row r="9">
      <x:c r="A9" s="327" t="str">
        <x:v>Commercial</x:v>
      </x:c>
      <x:c r="B9" s="327" t="str">
        <x:v>Pharmacy gross margin by basket</x:v>
      </x:c>
      <x:c r="C9" s="327" t="str">
        <x:v>Willingness to pay and ROI</x:v>
      </x:c>
      <x:c r="D9" s="328" t="str">
        <x:v>Finance lead</x:v>
      </x:c>
      <x:c r="E9" s="328" t="str">
        <x:v>Missing</x:v>
      </x:c>
      <x:c r="F9" s="328" t="str">
        <x:v>Pricing approval</x:v>
      </x:c>
      <x:c r="G9" s="328"/>
      <x:c r="H9" s="328"/>
    </x:row>
    <x:row r="10">
      <x:c r="A10" s="327" t="str">
        <x:v>Commercial</x:v>
      </x:c>
      <x:c r="B10" s="327" t="str">
        <x:v>Current lost-sale/abandonment reasons</x:v>
      </x:c>
      <x:c r="C10" s="327" t="str">
        <x:v>Value proposition and conversion</x:v>
      </x:c>
      <x:c r="D10" s="328" t="str">
        <x:v>Branch manager</x:v>
      </x:c>
      <x:c r="E10" s="328" t="str">
        <x:v>Missing</x:v>
      </x:c>
      <x:c r="F10" s="328" t="str">
        <x:v>Pilot design</x:v>
      </x:c>
      <x:c r="G10" s="328"/>
      <x:c r="H10" s="328"/>
    </x:row>
    <x:row r="11">
      <x:c r="A11" s="327" t="str">
        <x:v>Operations</x:v>
      </x:c>
      <x:c r="B11" s="327" t="str">
        <x:v>Current quotation turnaround</x:v>
      </x:c>
      <x:c r="C11" s="327" t="str">
        <x:v>Baseline and service-level target</x:v>
      </x:c>
      <x:c r="D11" s="328" t="str">
        <x:v>Attendant observation</x:v>
      </x:c>
      <x:c r="E11" s="328" t="str">
        <x:v>Missing</x:v>
      </x:c>
      <x:c r="F11" s="328" t="str">
        <x:v>Pilot launch</x:v>
      </x:c>
      <x:c r="G11" s="328"/>
      <x:c r="H11" s="328"/>
    </x:row>
    <x:row r="12">
      <x:c r="A12" s="327" t="str">
        <x:v>Operations</x:v>
      </x:c>
      <x:c r="B12" s="327" t="str">
        <x:v>Staff minutes per prescription</x:v>
      </x:c>
      <x:c r="C12" s="327" t="str">
        <x:v>Cost and productivity</x:v>
      </x:c>
      <x:c r="D12" s="328" t="str">
        <x:v>Time-and-motion observation</x:v>
      </x:c>
      <x:c r="E12" s="328" t="str">
        <x:v>Missing</x:v>
      </x:c>
      <x:c r="F12" s="328" t="str">
        <x:v>Pilot launch</x:v>
      </x:c>
      <x:c r="G12" s="328"/>
      <x:c r="H12" s="328"/>
    </x:row>
    <x:row r="13">
      <x:c r="A13" s="327" t="str">
        <x:v>Operations</x:v>
      </x:c>
      <x:c r="B13" s="327" t="str">
        <x:v>Stock accuracy and availability outcomes</x:v>
      </x:c>
      <x:c r="C13" s="327" t="str">
        <x:v>Inventory integration priority</x:v>
      </x:c>
      <x:c r="D13" s="328" t="str">
        <x:v>Inventory/POS owner</x:v>
      </x:c>
      <x:c r="E13" s="328" t="str">
        <x:v>Missing</x:v>
      </x:c>
      <x:c r="F13" s="328" t="str">
        <x:v>Pilot launch</x:v>
      </x:c>
      <x:c r="G13" s="328"/>
      <x:c r="H13" s="328"/>
    </x:row>
    <x:row r="14">
      <x:c r="A14" s="327" t="str">
        <x:v>Operations</x:v>
      </x:c>
      <x:c r="B14" s="327" t="str">
        <x:v>Packing and pickup waiting time</x:v>
      </x:c>
      <x:c r="C14" s="327" t="str">
        <x:v>Customer benefit and staffing</x:v>
      </x:c>
      <x:c r="D14" s="328" t="str">
        <x:v>Branch manager</x:v>
      </x:c>
      <x:c r="E14" s="328" t="str">
        <x:v>Missing</x:v>
      </x:c>
      <x:c r="F14" s="328" t="str">
        <x:v>Pilot launch</x:v>
      </x:c>
      <x:c r="G14" s="328"/>
      <x:c r="H14" s="328"/>
    </x:row>
    <x:row r="15">
      <x:c r="A15" s="327" t="str">
        <x:v>Delivery</x:v>
      </x:c>
      <x:c r="B15" s="327" t="str">
        <x:v>Delivery demand by zone</x:v>
      </x:c>
      <x:c r="C15" s="327" t="str">
        <x:v>Service-zone design</x:v>
      </x:c>
      <x:c r="D15" s="328" t="str">
        <x:v>Dispatch coordinator</x:v>
      </x:c>
      <x:c r="E15" s="328" t="str">
        <x:v>Missing</x:v>
      </x:c>
      <x:c r="F15" s="328" t="str">
        <x:v>Delivery launch</x:v>
      </x:c>
      <x:c r="G15" s="328"/>
      <x:c r="H15" s="328"/>
    </x:row>
    <x:row r="16">
      <x:c r="A16" s="327" t="str">
        <x:v>Delivery</x:v>
      </x:c>
      <x:c r="B16" s="327" t="str">
        <x:v>Courier fee, payout, distance, and completion time</x:v>
      </x:c>
      <x:c r="C16" s="327" t="str">
        <x:v>Delivery margin</x:v>
      </x:c>
      <x:c r="D16" s="328" t="str">
        <x:v>Dispatch/finance</x:v>
      </x:c>
      <x:c r="E16" s="328" t="str">
        <x:v>Missing</x:v>
      </x:c>
      <x:c r="F16" s="328" t="str">
        <x:v>Pricing approval</x:v>
      </x:c>
      <x:c r="G16" s="328"/>
      <x:c r="H16" s="328"/>
    </x:row>
    <x:row r="17">
      <x:c r="A17" s="327" t="str">
        <x:v>Delivery</x:v>
      </x:c>
      <x:c r="B17" s="327" t="str">
        <x:v>Cold-chain and restricted-item eligibility</x:v>
      </x:c>
      <x:c r="C17" s="327" t="str">
        <x:v>Safe lane rules</x:v>
      </x:c>
      <x:c r="D17" s="328" t="str">
        <x:v>Pharmacist/quality lead</x:v>
      </x:c>
      <x:c r="E17" s="328" t="str">
        <x:v>Missing</x:v>
      </x:c>
      <x:c r="F17" s="328" t="str">
        <x:v>Delivery launch</x:v>
      </x:c>
      <x:c r="G17" s="328"/>
      <x:c r="H17" s="328"/>
    </x:row>
    <x:row r="18">
      <x:c r="A18" s="327" t="str">
        <x:v>Customer</x:v>
      </x:c>
      <x:c r="B18" s="327" t="str">
        <x:v>Web versus WhatsApp preference</x:v>
      </x:c>
      <x:c r="C18" s="327" t="str">
        <x:v>Entry-point priority</x:v>
      </x:c>
      <x:c r="D18" s="328" t="str">
        <x:v>Customer interviews</x:v>
      </x:c>
      <x:c r="E18" s="328" t="str">
        <x:v>Missing</x:v>
      </x:c>
      <x:c r="F18" s="328" t="str">
        <x:v>Pilot design</x:v>
      </x:c>
      <x:c r="G18" s="328"/>
      <x:c r="H18" s="328"/>
    </x:row>
    <x:row r="19">
      <x:c r="A19" s="327" t="str">
        <x:v>Customer</x:v>
      </x:c>
      <x:c r="B19" s="327" t="str">
        <x:v>Willingness to pay for delivery</x:v>
      </x:c>
      <x:c r="C19" s="327" t="str">
        <x:v>Zone pricing</x:v>
      </x:c>
      <x:c r="D19" s="328" t="str">
        <x:v>Customer interviews</x:v>
      </x:c>
      <x:c r="E19" s="328" t="str">
        <x:v>Missing</x:v>
      </x:c>
      <x:c r="F19" s="328" t="str">
        <x:v>Pricing approval</x:v>
      </x:c>
      <x:c r="G19" s="328"/>
      <x:c r="H19" s="328"/>
    </x:row>
    <x:row r="20">
      <x:c r="A20" s="327" t="str">
        <x:v>Customer</x:v>
      </x:c>
      <x:c r="B20" s="327" t="str">
        <x:v>Trust requirements for remote quotation</x:v>
      </x:c>
      <x:c r="C20" s="327" t="str">
        <x:v>Copy and review flow</x:v>
      </x:c>
      <x:c r="D20" s="328" t="str">
        <x:v>Customer interviews</x:v>
      </x:c>
      <x:c r="E20" s="328" t="str">
        <x:v>Missing</x:v>
      </x:c>
      <x:c r="F20" s="328" t="str">
        <x:v>Pilot design</x:v>
      </x:c>
      <x:c r="G20" s="328"/>
      <x:c r="H20" s="328"/>
    </x:row>
    <x:row r="21">
      <x:c r="A21" s="327" t="str">
        <x:v>Buyer</x:v>
      </x:c>
      <x:c r="B21" s="327" t="str">
        <x:v>Budget owner and approval process</x:v>
      </x:c>
      <x:c r="C21" s="327" t="str">
        <x:v>Sales motion</x:v>
      </x:c>
      <x:c r="D21" s="328" t="str">
        <x:v>Pharmacy owner</x:v>
      </x:c>
      <x:c r="E21" s="328" t="str">
        <x:v>Missing</x:v>
      </x:c>
      <x:c r="F21" s="328" t="str">
        <x:v>Commercial proposal</x:v>
      </x:c>
      <x:c r="G21" s="328"/>
      <x:c r="H21" s="328"/>
    </x:row>
    <x:row r="22">
      <x:c r="A22" s="327" t="str">
        <x:v>Buyer</x:v>
      </x:c>
      <x:c r="B22" s="327" t="str">
        <x:v>Preferred subscription versus transaction pricing</x:v>
      </x:c>
      <x:c r="C22" s="327" t="str">
        <x:v>Pricing architecture</x:v>
      </x:c>
      <x:c r="D22" s="328" t="str">
        <x:v>Owner/finance interviews</x:v>
      </x:c>
      <x:c r="E22" s="328" t="str">
        <x:v>Missing</x:v>
      </x:c>
      <x:c r="F22" s="328" t="str">
        <x:v>Pricing approval</x:v>
      </x:c>
      <x:c r="G22" s="328"/>
      <x:c r="H22" s="328"/>
    </x:row>
    <x:row r="23">
      <x:c r="A23" s="327" t="str">
        <x:v>Technical</x:v>
      </x:c>
      <x:c r="B23" s="327" t="str">
        <x:v>Current POS/inventory/accounting systems</x:v>
      </x:c>
      <x:c r="C23" s="327" t="str">
        <x:v>Integration scope</x:v>
      </x:c>
      <x:c r="D23" s="328" t="str">
        <x:v>IT/operations owner</x:v>
      </x:c>
      <x:c r="E23" s="328" t="str">
        <x:v>Missing</x:v>
      </x:c>
      <x:c r="F23" s="328" t="str">
        <x:v>Pilot architecture</x:v>
      </x:c>
      <x:c r="G23" s="328"/>
      <x:c r="H23" s="328"/>
    </x:row>
    <x:row r="24">
      <x:c r="A24" s="327" t="str">
        <x:v>Technical</x:v>
      </x:c>
      <x:c r="B24" s="327" t="str">
        <x:v>WhatsApp number/provider and device ownership</x:v>
      </x:c>
      <x:c r="C24" s="327" t="str">
        <x:v>Inbound channel design</x:v>
      </x:c>
      <x:c r="D24" s="328" t="str">
        <x:v>Customer service/IT</x:v>
      </x:c>
      <x:c r="E24" s="328" t="str">
        <x:v>Missing</x:v>
      </x:c>
      <x:c r="F24" s="328" t="str">
        <x:v>Pilot architecture</x:v>
      </x:c>
      <x:c r="G24" s="328"/>
      <x:c r="H24" s="328"/>
    </x:row>
    <x:row r="25">
      <x:c r="A25" s="327" t="str">
        <x:v>Technical</x:v>
      </x:c>
      <x:c r="B25" s="327" t="str">
        <x:v>Internet, devices, and shift access</x:v>
      </x:c>
      <x:c r="C25" s="327" t="str">
        <x:v>Staff workspace design</x:v>
      </x:c>
      <x:c r="D25" s="328" t="str">
        <x:v>Branch observation</x:v>
      </x:c>
      <x:c r="E25" s="328" t="str">
        <x:v>Missing</x:v>
      </x:c>
      <x:c r="F25" s="328" t="str">
        <x:v>Pilot launch</x:v>
      </x:c>
      <x:c r="G25" s="328"/>
      <x:c r="H25" s="328"/>
    </x:row>
    <x:row r="26">
      <x:c r="A26" s="327" t="str">
        <x:v>Compliance</x:v>
      </x:c>
      <x:c r="B26" s="327" t="str">
        <x:v>PCN electronic-pharmacy role and licence pathway</x:v>
      </x:c>
      <x:c r="C26" s="327" t="str">
        <x:v>Launch authority</x:v>
      </x:c>
      <x:c r="D26" s="328" t="str">
        <x:v>Pharmacy/legal/PCN</x:v>
      </x:c>
      <x:c r="E26" s="328" t="str">
        <x:v>Missing</x:v>
      </x:c>
      <x:c r="F26" s="328" t="str">
        <x:v>Production launch</x:v>
      </x:c>
      <x:c r="G26" s="328"/>
      <x:c r="H26" s="328"/>
    </x:row>
    <x:row r="27">
      <x:c r="A27" s="327" t="str">
        <x:v>Compliance</x:v>
      </x:c>
      <x:c r="B27" s="327" t="str">
        <x:v>Controller/processor roles and lawful basis</x:v>
      </x:c>
      <x:c r="C27" s="327" t="str">
        <x:v>Data-processing design</x:v>
      </x:c>
      <x:c r="D27" s="328" t="str">
        <x:v>Privacy/legal</x:v>
      </x:c>
      <x:c r="E27" s="328" t="str">
        <x:v>Missing</x:v>
      </x:c>
      <x:c r="F27" s="328" t="str">
        <x:v>Production launch</x:v>
      </x:c>
      <x:c r="G27" s="328"/>
      <x:c r="H27" s="328"/>
    </x:row>
    <x:row r="28">
      <x:c r="A28" s="327" t="str">
        <x:v>Compliance</x:v>
      </x:c>
      <x:c r="B28" s="327" t="str">
        <x:v>Prescription-image retention and access policy</x:v>
      </x:c>
      <x:c r="C28" s="327" t="str">
        <x:v>Storage and security</x:v>
      </x:c>
      <x:c r="D28" s="328" t="str">
        <x:v>Pharmacy/legal/privacy</x:v>
      </x:c>
      <x:c r="E28" s="328" t="str">
        <x:v>Missing</x:v>
      </x:c>
      <x:c r="F28" s="328" t="str">
        <x:v>Production launch</x:v>
      </x:c>
      <x:c r="G28" s="328"/>
      <x:c r="H28" s="328"/>
    </x:row>
    <x:row r="29">
      <x:c r="A29" s="327" t="str">
        <x:v>Compliance</x:v>
      </x:c>
      <x:c r="B29" s="327" t="str">
        <x:v>Courier and medicine-distribution SOP</x:v>
      </x:c>
      <x:c r="C29" s="327" t="str">
        <x:v>Delivery approval</x:v>
      </x:c>
      <x:c r="D29" s="328" t="str">
        <x:v>Pharmacist/quality/logistics</x:v>
      </x:c>
      <x:c r="E29" s="328" t="str">
        <x:v>Missing</x:v>
      </x:c>
      <x:c r="F29" s="328" t="str">
        <x:v>Delivery launch</x:v>
      </x:c>
      <x:c r="G29" s="328"/>
      <x:c r="H29" s="328"/>
    </x:row>
  </x:sheetData>
  <x:mergeCells>
    <x:mergeCell ref="A1:H1"/>
    <x:mergeCell ref="A2:H2"/>
  </x:mergeCells>
  <x:dataValidations count="1">
    <x:dataValidation type="list" sqref="E5:E29">
      <x:formula1>"Missing,Requested,Provided,Validated"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099f2daf724a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64" hidden="0" customWidth="1"/>
    <x:col min="5" max="5" width="42" hidden="0" customWidth="1"/>
    <x:col min="6" max="6" width="44" hidden="0" customWidth="1"/>
    <x:col min="7" max="7" width="14" hidden="0" customWidth="1"/>
    <x:col min="8" max="8" width="22" hidden="0" customWidth="1"/>
  </x:cols>
  <x:sheetData>
    <x:row r="1" ht="34" customHeight="1">
      <x:c r="A1" s="167" t="str">
        <x:v>Sources And Model Notes</x:v>
      </x:c>
      <x:c r="B1" s="167"/>
      <x:c r="C1" s="167"/>
      <x:c r="D1" s="167"/>
      <x:c r="E1" s="167"/>
      <x:c r="F1" s="167"/>
      <x:c r="G1" s="167"/>
      <x:c r="H1" s="167"/>
    </x:row>
    <x:row r="2" ht="30" customHeight="1">
      <x:c r="A2" s="168" t="str">
        <x:v>Official sources establish the regulatory frame. Competitor sources validate channel behaviour only. Internal assumptions remain unvalidated.</x:v>
      </x:c>
      <x:c r="B2" s="168"/>
      <x:c r="C2" s="168"/>
      <x:c r="D2" s="168"/>
      <x:c r="E2" s="168"/>
      <x:c r="F2" s="168"/>
      <x:c r="G2" s="168"/>
      <x:c r="H2" s="168"/>
    </x:row>
    <x:row r="3">
      <x:c r="A3" s="200"/>
      <x:c r="B3" s="200"/>
      <x:c r="C3" s="200"/>
      <x:c r="D3" s="200"/>
      <x:c r="E3" s="200"/>
      <x:c r="F3" s="200"/>
      <x:c r="G3" s="200"/>
      <x:c r="H3" s="200"/>
    </x:row>
    <x:row r="4">
      <x:c r="A4" s="186" t="str">
        <x:v>ID</x:v>
      </x:c>
      <x:c r="B4" s="187" t="str">
        <x:v>Category</x:v>
      </x:c>
      <x:c r="C4" s="187" t="str">
        <x:v>Source</x:v>
      </x:c>
      <x:c r="D4" s="187" t="str">
        <x:v>URL / reference</x:v>
      </x:c>
      <x:c r="E4" s="187" t="str">
        <x:v>What it supports</x:v>
      </x:c>
      <x:c r="F4" s="187" t="str">
        <x:v>Caveat</x:v>
      </x:c>
      <x:c r="G4" s="187" t="str">
        <x:v>Accessed</x:v>
      </x:c>
      <x:c r="H4" s="188" t="str">
        <x:v>Owner</x:v>
      </x:c>
    </x:row>
    <x:row r="5">
      <x:c r="A5" s="253" t="str">
        <x:v>REG-01</x:v>
      </x:c>
      <x:c r="B5" s="253" t="str">
        <x:v>Official regulation</x:v>
      </x:c>
      <x:c r="C5" s="253" t="str">
        <x:v>PCN Electronic Pharmacy Regulations 2026</x:v>
      </x:c>
      <x:c r="D5" s="253" t="str">
        <x:v>https://pcn.gov.ng/wp-content/uploads/2026/04/Electronic-Pharmacy-Regulation-2026-B81-108.pdf</x:v>
      </x:c>
      <x:c r="E5" s="253" t="str">
        <x:v>Current electronic-pharmacy framework</x:v>
      </x:c>
      <x:c r="F5" s="253" t="str">
        <x:v>Confirm exact EwaTrade role with PCN/legal counsel</x:v>
      </x:c>
      <x:c r="G5" s="330" t="n">
        <x:v>46241</x:v>
      </x:c>
      <x:c r="H5" s="253" t="str">
        <x:v>Legal/compliance</x:v>
      </x:c>
    </x:row>
    <x:row r="6">
      <x:c r="A6" s="253" t="str">
        <x:v>REG-02</x:v>
      </x:c>
      <x:c r="B6" s="253" t="str">
        <x:v>Official publication</x:v>
      </x:c>
      <x:c r="C6" s="253" t="str">
        <x:v>PCN Publications</x:v>
      </x:c>
      <x:c r="D6" s="253" t="str">
        <x:v>https://pcn.gov.ng/about-pharmacy-council-nigeria/publications/</x:v>
      </x:c>
      <x:c r="E6" s="253" t="str">
        <x:v>Official publication and update source</x:v>
      </x:c>
      <x:c r="F6" s="253" t="str">
        <x:v>Monitor for later circulars and implementation guidance</x:v>
      </x:c>
      <x:c r="G6" s="330" t="n">
        <x:v>46241</x:v>
      </x:c>
      <x:c r="H6" s="253" t="str">
        <x:v>Legal/compliance</x:v>
      </x:c>
    </x:row>
    <x:row r="7">
      <x:c r="A7" s="253" t="str">
        <x:v>PRIV-01</x:v>
      </x:c>
      <x:c r="B7" s="253" t="str">
        <x:v>Official law</x:v>
      </x:c>
      <x:c r="C7" s="253" t="str">
        <x:v>Nigeria Data Protection Act 2023</x:v>
      </x:c>
      <x:c r="D7" s="253" t="str">
        <x:v>https://ndpc.gov.ng/wp-content/uploads/2024/03/Nigeria_Data_Protection_Act_2023.pdf</x:v>
      </x:c>
      <x:c r="E7" s="253" t="str">
        <x:v>Sensitive-data and controller/processor framework</x:v>
      </x:c>
      <x:c r="F7" s="253" t="str">
        <x:v>Not legal advice; confirm obligations with privacy counsel</x:v>
      </x:c>
      <x:c r="G7" s="330" t="n">
        <x:v>46241</x:v>
      </x:c>
      <x:c r="H7" s="253" t="str">
        <x:v>Privacy/legal</x:v>
      </x:c>
    </x:row>
    <x:row r="8">
      <x:c r="A8" s="253" t="str">
        <x:v>CAT-01</x:v>
      </x:c>
      <x:c r="B8" s="253" t="str">
        <x:v>Category example</x:v>
      </x:c>
      <x:c r="C8" s="253" t="str">
        <x:v>Drugstore.ng</x:v>
      </x:c>
      <x:c r="D8" s="253" t="str">
        <x:v>https://drugstore.ng/</x:v>
      </x:c>
      <x:c r="E8" s="253" t="str">
        <x:v>Prescription upload, pharmacist chat, WhatsApp, delivery</x:v>
      </x:c>
      <x:c r="F8" s="253" t="str">
        <x:v>Validates behaviour, not EwaTrade demand or performance</x:v>
      </x:c>
      <x:c r="G8" s="330" t="n">
        <x:v>46241</x:v>
      </x:c>
      <x:c r="H8" s="253" t="str">
        <x:v>Product</x:v>
      </x:c>
    </x:row>
    <x:row r="9">
      <x:c r="A9" s="253" t="str">
        <x:v>CAT-02</x:v>
      </x:c>
      <x:c r="B9" s="253" t="str">
        <x:v>Category example</x:v>
      </x:c>
      <x:c r="C9" s="253" t="str">
        <x:v>Sanlive Pharmacy prescription upload</x:v>
      </x:c>
      <x:c r="D9" s="253" t="str">
        <x:v>https://sanlivepharmacy.com/upload/prescription</x:v>
      </x:c>
      <x:c r="E9" s="253" t="str">
        <x:v>Image/PDF upload, pharmacist review, delivery</x:v>
      </x:c>
      <x:c r="F9" s="253" t="str">
        <x:v>Self-described provider capability</x:v>
      </x:c>
      <x:c r="G9" s="330" t="n">
        <x:v>46241</x:v>
      </x:c>
      <x:c r="H9" s="253" t="str">
        <x:v>Product</x:v>
      </x:c>
    </x:row>
    <x:row r="10">
      <x:c r="A10" s="253" t="str">
        <x:v>CAT-03</x:v>
      </x:c>
      <x:c r="B10" s="253" t="str">
        <x:v>Category example</x:v>
      </x:c>
      <x:c r="C10" s="253" t="str">
        <x:v>Amkamed services</x:v>
      </x:c>
      <x:c r="D10" s="253" t="str">
        <x:v>https://www.amkamed.com/our-services</x:v>
      </x:c>
      <x:c r="E10" s="253" t="str">
        <x:v>WhatsApp prescription intake, pharmacist review, logistics</x:v>
      </x:c>
      <x:c r="F10" s="253" t="str">
        <x:v>Self-described provider capability</x:v>
      </x:c>
      <x:c r="G10" s="330" t="n">
        <x:v>46241</x:v>
      </x:c>
      <x:c r="H10" s="253" t="str">
        <x:v>Product</x:v>
      </x:c>
    </x:row>
    <x:row r="11">
      <x:c r="A11" s="253" t="str">
        <x:v>INT-01</x:v>
      </x:c>
      <x:c r="B11" s="253" t="str">
        <x:v>Internal product</x:v>
      </x:c>
      <x:c r="C11" s="253" t="str">
        <x:v>EwaTrade Brain: generic service operations</x:v>
      </x:c>
      <x:c r="D11" s="253" t="str">
        <x:v>.brain/features/generic-service-operations.md</x:v>
      </x:c>
      <x:c r="E11" s="253" t="str">
        <x:v>Requests, versioned quotes, orders, payments, messaging</x:v>
      </x:c>
      <x:c r="F11" s="253" t="str">
        <x:v>Prescription-specific workflow is not implemented</x:v>
      </x:c>
      <x:c r="G11" s="330" t="n">
        <x:v>46241</x:v>
      </x:c>
      <x:c r="H11" s="253" t="str">
        <x:v>Product/engineering</x:v>
      </x:c>
    </x:row>
    <x:row r="12">
      <x:c r="A12" s="253" t="str">
        <x:v>INT-02</x:v>
      </x:c>
      <x:c r="B12" s="253" t="str">
        <x:v>Internal product</x:v>
      </x:c>
      <x:c r="C12" s="253" t="str">
        <x:v>EwaTrade Brain: delivery scheduling</x:v>
      </x:c>
      <x:c r="D12" s="253" t="str">
        <x:v>.brain/features/commercial-order-delivery-scheduling.md</x:v>
      </x:c>
      <x:c r="E12" s="253" t="str">
        <x:v>Delivery commitments and fulfilment primitives</x:v>
      </x:c>
      <x:c r="F12" s="253" t="str">
        <x:v>Rider app and prescription delivery policy remain incomplete</x:v>
      </x:c>
      <x:c r="G12" s="330" t="n">
        <x:v>46241</x:v>
      </x:c>
      <x:c r="H12" s="253" t="str">
        <x:v>Product/engineering</x:v>
      </x:c>
    </x:row>
    <x:row r="13">
      <x:c r="A13" s="253" t="str">
        <x:v>INT-03</x:v>
      </x:c>
      <x:c r="B13" s="253" t="str">
        <x:v>Internal product</x:v>
      </x:c>
      <x:c r="C13" s="253" t="str">
        <x:v>EwaTrade Brain: prescription commerce concept</x:v>
      </x:c>
      <x:c r="D13" s="253" t="str">
        <x:v>.brain/features/hospital-prescription-fast-lane.md</x:v>
      </x:c>
      <x:c r="E13" s="253" t="str">
        <x:v>Current concept, workflow, and open decisions</x:v>
      </x:c>
      <x:c r="F13" s="253" t="str">
        <x:v>Must be updated as commercialization decisions mature</x:v>
      </x:c>
      <x:c r="G13" s="330" t="n">
        <x:v>46241</x:v>
      </x:c>
      <x:c r="H13" s="253" t="str">
        <x:v>Product</x:v>
      </x:c>
    </x:row>
    <x:row r="14">
      <x:c r="A14" s="253" t="str">
        <x:v>HYP-01</x:v>
      </x:c>
      <x:c r="B14" s="253" t="str">
        <x:v>Model hypothesis</x:v>
      </x:c>
      <x:c r="C14" s="253" t="str">
        <x:v>Illustrative scenario assumptions</x:v>
      </x:c>
      <x:c r="D14" s="253" t="str">
        <x:v>Assumptions sheet</x:v>
      </x:c>
      <x:c r="E14" s="253" t="str">
        <x:v>Pricing and unit-economics model</x:v>
      </x:c>
      <x:c r="F14" s="253" t="str">
        <x:v>Replace with pharmacy and pilot evidence</x:v>
      </x:c>
      <x:c r="G14" s="330" t="n">
        <x:v>46241</x:v>
      </x:c>
      <x:c r="H14" s="253" t="str">
        <x:v>EwaTrade leadership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dc1ea69e6d40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8" hidden="0" customWidth="1"/>
    <x:col min="4" max="4" width="16" hidden="0" customWidth="1"/>
    <x:col min="5" max="5" width="14" hidden="0" customWidth="1"/>
    <x:col min="6" max="6" width="14" hidden="0" customWidth="1"/>
    <x:col min="7" max="7" width="40" hidden="0" customWidth="1"/>
  </x:cols>
  <x:sheetData>
    <x:row r="1" ht="34" customHeight="1">
      <x:c r="A1" s="167" t="str">
        <x:v>Model Checks</x:v>
      </x:c>
      <x:c r="B1" s="167"/>
      <x:c r="C1" s="167"/>
      <x:c r="D1" s="167"/>
      <x:c r="E1" s="167"/>
      <x:c r="F1" s="167"/>
      <x:c r="G1" s="167"/>
    </x:row>
    <x:row r="2" ht="30" customHeight="1">
      <x:c r="A2" s="168" t="str">
        <x:v>PASS confirms internal formula and assumption controls, not market validation.</x:v>
      </x:c>
      <x:c r="B2" s="168"/>
      <x:c r="C2" s="168"/>
      <x:c r="D2" s="168"/>
      <x:c r="E2" s="168"/>
      <x:c r="F2" s="168"/>
      <x:c r="G2" s="168"/>
    </x:row>
    <x:row r="3">
      <x:c r="A3" s="200"/>
      <x:c r="B3" s="200"/>
      <x:c r="C3" s="200"/>
      <x:c r="D3" s="200"/>
      <x:c r="E3" s="200"/>
      <x:c r="F3" s="200"/>
      <x:c r="G3" s="200"/>
    </x:row>
    <x:row r="4">
      <x:c r="A4" s="186" t="str">
        <x:v>Check</x:v>
      </x:c>
      <x:c r="B4" s="187" t="str">
        <x:v>Actual</x:v>
      </x:c>
      <x:c r="C4" s="187" t="str">
        <x:v>Expected</x:v>
      </x:c>
      <x:c r="D4" s="187" t="str">
        <x:v>Difference</x:v>
      </x:c>
      <x:c r="E4" s="187" t="str">
        <x:v>Tolerance</x:v>
      </x:c>
      <x:c r="F4" s="187" t="str">
        <x:v>Status</x:v>
      </x:c>
      <x:c r="G4" s="188" t="str">
        <x:v>Where to fix / notes</x:v>
      </x:c>
    </x:row>
    <x:row r="5">
      <x:c r="A5" s="229" t="str">
        <x:v>Active scenario is valid</x:v>
      </x:c>
      <x:c r="B5" s="335" t="n">
        <x:f>COUNTIF('Assumptions'!C8:E8,'Assumptions'!B4)</x:f>
        <x:v>1</x:v>
      </x:c>
      <x:c r="C5" s="335" t="n">
        <x:v>1</x:v>
      </x:c>
      <x:c r="D5" s="335" t="n">
        <x:f>B5-C5</x:f>
        <x:v>0</x:v>
      </x:c>
      <x:c r="E5" s="335" t="n">
        <x:v>0</x:v>
      </x:c>
      <x:c r="F5" s="335" t="str">
        <x:f>IF(ABS(D5)&lt;=E5,"PASS","FAIL")</x:f>
        <x:v>PASS</x:v>
      </x:c>
      <x:c r="G5" s="229" t="str">
        <x:v>Assumptions!B4</x:v>
      </x:c>
    </x:row>
    <x:row r="6">
      <x:c r="A6" s="232" t="str">
        <x:v>Monthly requests are positive</x:v>
      </x:c>
      <x:c r="B6" s="336" t="n">
        <x:f>'Assumptions'!B9</x:f>
        <x:v>1500</x:v>
      </x:c>
      <x:c r="C6" s="336" t="str">
        <x:v>&gt; 0</x:v>
      </x:c>
      <x:c r="D6" s="336" t="n">
        <x:f>IF(B6&gt;0,0,ABS(B6)+1)</x:f>
        <x:v>0</x:v>
      </x:c>
      <x:c r="E6" s="336" t="n">
        <x:v>0</x:v>
      </x:c>
      <x:c r="F6" s="336" t="str">
        <x:f>IF(D6=0,"PASS","FAIL")</x:f>
        <x:v>PASS</x:v>
      </x:c>
      <x:c r="G6" s="232" t="str">
        <x:v>Assumptions!B9</x:v>
      </x:c>
    </x:row>
    <x:row r="7">
      <x:c r="A7" s="232" t="str">
        <x:v>Quote conversion is between 0% and 100%</x:v>
      </x:c>
      <x:c r="B7" s="336" t="n">
        <x:f>'Assumptions'!B11</x:f>
        <x:v>0.5</x:v>
      </x:c>
      <x:c r="C7" s="336" t="str">
        <x:v>0 to 1</x:v>
      </x:c>
      <x:c r="D7" s="336" t="n">
        <x:f>MAX(0,B7-1)+MAX(0,-B7)</x:f>
        <x:v>0</x:v>
      </x:c>
      <x:c r="E7" s="336" t="n">
        <x:v>0</x:v>
      </x:c>
      <x:c r="F7" s="336" t="str">
        <x:f>IF(D7=0,"PASS","FAIL")</x:f>
        <x:v>PASS</x:v>
      </x:c>
      <x:c r="G7" s="232" t="str">
        <x:v>Assumptions!B11</x:v>
      </x:c>
    </x:row>
    <x:row r="8">
      <x:c r="A8" s="232" t="str">
        <x:v>Delivery margin is between 0% and 100%</x:v>
      </x:c>
      <x:c r="B8" s="336" t="n">
        <x:f>'Assumptions'!B17</x:f>
        <x:v>0.15</x:v>
      </x:c>
      <x:c r="C8" s="336" t="str">
        <x:v>0 to 1</x:v>
      </x:c>
      <x:c r="D8" s="336" t="n">
        <x:f>MAX(0,B8-1)+MAX(0,-B8)</x:f>
        <x:v>0</x:v>
      </x:c>
      <x:c r="E8" s="336" t="n">
        <x:v>0</x:v>
      </x:c>
      <x:c r="F8" s="336" t="str">
        <x:f>IF(D8=0,"PASS","FAIL")</x:f>
        <x:v>PASS</x:v>
      </x:c>
      <x:c r="G8" s="232" t="str">
        <x:v>Assumptions!B17</x:v>
      </x:c>
    </x:row>
    <x:row r="9">
      <x:c r="A9" s="232" t="str">
        <x:v>Unit economics contribution ties</x:v>
      </x:c>
      <x:c r="B9" s="336" t="n">
        <x:f>'Unit Economics'!B22</x:f>
        <x:v>201072.9166666667</x:v>
      </x:c>
      <x:c r="C9" s="336" t="str">
        <x:v>Revenue - direct cost</x:v>
      </x:c>
      <x:c r="D9" s="336" t="n">
        <x:f>B9-('Unit Economics'!B16-'Unit Economics'!B21)</x:f>
        <x:v>0</x:v>
      </x:c>
      <x:c r="E9" s="336" t="n">
        <x:v>1</x:v>
      </x:c>
      <x:c r="F9" s="336" t="str">
        <x:f>IF(ABS(D9)&lt;=E9,"PASS","FAIL")</x:f>
        <x:v>PASS</x:v>
      </x:c>
      <x:c r="G9" s="232" t="str">
        <x:v>Unit Economics!B16:B22</x:v>
      </x:c>
    </x:row>
    <x:row r="10">
      <x:c r="A10" s="232" t="str">
        <x:v>Scenario contribution ties</x:v>
      </x:c>
      <x:c r="B10" s="336" t="n">
        <x:f>'Scenarios'!F7</x:f>
        <x:v>201072.9166666667</x:v>
      </x:c>
      <x:c r="C10" s="336" t="str">
        <x:v>Revenue - direct cost</x:v>
      </x:c>
      <x:c r="D10" s="336" t="n">
        <x:f>B10-('Scenarios'!D7-'Scenarios'!E7)</x:f>
        <x:v>0</x:v>
      </x:c>
      <x:c r="E10" s="336" t="n">
        <x:v>1</x:v>
      </x:c>
      <x:c r="F10" s="336" t="str">
        <x:f>IF(ABS(D10)&lt;=E10,"PASS","FAIL")</x:f>
        <x:v>PASS</x:v>
      </x:c>
      <x:c r="G10" s="232" t="str">
        <x:v>Scenarios!D7:F7</x:v>
      </x:c>
    </x:row>
    <x:row r="11">
      <x:c r="A11" s="232" t="str">
        <x:v>Forecast starts with at least one branch</x:v>
      </x:c>
      <x:c r="B11" s="336" t="n">
        <x:f>'24-Month Plan'!C6</x:f>
        <x:v>1</x:v>
      </x:c>
      <x:c r="C11" s="336" t="str">
        <x:v>&gt;= 1</x:v>
      </x:c>
      <x:c r="D11" s="336" t="n">
        <x:f>MAX(0,1-B11)</x:f>
        <x:v>0</x:v>
      </x:c>
      <x:c r="E11" s="336" t="n">
        <x:v>0</x:v>
      </x:c>
      <x:c r="F11" s="336" t="str">
        <x:f>IF(D11=0,"PASS","FAIL")</x:f>
        <x:v>PASS</x:v>
      </x:c>
      <x:c r="G11" s="232" t="str">
        <x:v>24-Month Plan!C6</x:v>
      </x:c>
    </x:row>
    <x:row r="12">
      <x:c r="A12" s="253"/>
      <x:c r="B12" s="253"/>
      <x:c r="C12" s="253"/>
      <x:c r="D12" s="253"/>
      <x:c r="E12" s="253"/>
      <x:c r="F12" s="253"/>
      <x:c r="G12" s="253"/>
    </x:row>
    <x:row r="13">
      <x:c r="A13" s="337" t="str">
        <x:v>MODEL STATUS</x:v>
      </x:c>
      <x:c r="B13" s="337"/>
      <x:c r="C13" s="337"/>
      <x:c r="D13" s="338" t="str">
        <x:f>IF(COUNTIF(F5:F11,"FAIL")=0,"PASS","FAIL")</x:f>
        <x:v>PASS</x:v>
      </x:c>
      <x:c r="E13" s="338"/>
      <x:c r="F13" s="338"/>
      <x:c r="G13" s="253"/>
    </x:row>
  </x:sheetData>
  <x:mergeCells>
    <x:mergeCell ref="A1:G1"/>
    <x:mergeCell ref="A2:G2"/>
    <x:mergeCell ref="A13:C13"/>
    <x:mergeCell ref="D13:F13"/>
  </x:mergeCells>
  <x:conditionalFormatting sqref="F5:F11">
    <x:cfRule type="containsText" dxfId="4" priority="1" operator="containsText" text="OK"/>
    <x:cfRule type="containsText" dxfId="5" priority="2" operator="containsText" text="PASS"/>
    <x:cfRule type="containsText" dxfId="6" priority="3" operator="containsText" text="FAIL"/>
    <x:cfRule type="containsText" dxfId="7" priority="4" operator="containsText" text="ATTENTION"/>
  </x:conditionalFormatting>
  <x:conditionalFormatting sqref="D13:F13">
    <x:cfRule type="containsText" dxfId="8" priority="5" operator="containsText" text="OK"/>
    <x:cfRule type="containsText" dxfId="9" priority="6" operator="containsText" text="PASS"/>
    <x:cfRule type="containsText" dxfId="10" priority="7" operator="containsText" text="FAIL"/>
    <x:cfRule type="containsText" dxfId="11" priority="8" operator="containsText" text="ATTENTION"/>
  </x:conditionalFormatting>
  <x:pageMargins left="0.7" right="0.7" top="0.75" bottom="0.75" header="0.3" footer="0.3"/>
</x:worksheet>
</file>